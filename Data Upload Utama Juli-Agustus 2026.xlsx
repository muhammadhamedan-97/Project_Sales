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dan\Downloads\"/>
    </mc:Choice>
  </mc:AlternateContent>
  <xr:revisionPtr revIDLastSave="0" documentId="13_ncr:1_{D4062098-C45D-4F26-A858-BF92C464F315}" xr6:coauthVersionLast="47" xr6:coauthVersionMax="47" xr10:uidLastSave="{00000000-0000-0000-0000-000000000000}"/>
  <bookViews>
    <workbookView xWindow="-120" yWindow="-120" windowWidth="20730" windowHeight="11040" xr2:uid="{7016E687-3C89-41A9-89AA-E65D8D759719}"/>
  </bookViews>
  <sheets>
    <sheet name="DATA upload" sheetId="2" r:id="rId1"/>
    <sheet name="Sheet1" sheetId="1" r:id="rId2"/>
  </sheets>
  <definedNames>
    <definedName name="_xlnm._FilterDatabase" localSheetId="0" hidden="1">'DATA upload'!$A$1:$Y$476</definedName>
    <definedName name="_xlnm._FilterDatabase" localSheetId="1" hidden="1">Sheet1!$A$1:$AQ$477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7" i="2" l="1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A483" i="2"/>
  <c r="A484" i="2"/>
  <c r="A485" i="2"/>
  <c r="A477" i="2"/>
  <c r="A478" i="2"/>
  <c r="A479" i="2"/>
  <c r="A480" i="2"/>
  <c r="A481" i="2"/>
  <c r="A48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B222" i="2"/>
  <c r="C222" i="2"/>
  <c r="D222" i="2"/>
  <c r="E222" i="2"/>
  <c r="F222" i="2"/>
  <c r="G222" i="2"/>
  <c r="H222" i="2"/>
  <c r="U222" i="2" s="1"/>
  <c r="I222" i="2"/>
  <c r="J222" i="2"/>
  <c r="K222" i="2"/>
  <c r="L222" i="2"/>
  <c r="M222" i="2"/>
  <c r="N222" i="2"/>
  <c r="O222" i="2"/>
  <c r="Q222" i="2"/>
  <c r="R222" i="2"/>
  <c r="S222" i="2"/>
  <c r="T222" i="2"/>
  <c r="B223" i="2"/>
  <c r="C223" i="2"/>
  <c r="D223" i="2"/>
  <c r="E223" i="2"/>
  <c r="F223" i="2"/>
  <c r="G223" i="2"/>
  <c r="H223" i="2"/>
  <c r="U223" i="2" s="1"/>
  <c r="I223" i="2"/>
  <c r="J223" i="2"/>
  <c r="K223" i="2"/>
  <c r="L223" i="2"/>
  <c r="M223" i="2"/>
  <c r="N223" i="2"/>
  <c r="O223" i="2"/>
  <c r="Q223" i="2"/>
  <c r="R223" i="2"/>
  <c r="S223" i="2"/>
  <c r="T223" i="2"/>
  <c r="B224" i="2"/>
  <c r="C224" i="2"/>
  <c r="D224" i="2"/>
  <c r="E224" i="2"/>
  <c r="F224" i="2"/>
  <c r="G224" i="2"/>
  <c r="H224" i="2"/>
  <c r="U224" i="2" s="1"/>
  <c r="I224" i="2"/>
  <c r="J224" i="2"/>
  <c r="K224" i="2"/>
  <c r="L224" i="2"/>
  <c r="M224" i="2"/>
  <c r="N224" i="2"/>
  <c r="O224" i="2"/>
  <c r="Q224" i="2"/>
  <c r="R224" i="2"/>
  <c r="S224" i="2"/>
  <c r="T224" i="2"/>
  <c r="B225" i="2"/>
  <c r="C225" i="2"/>
  <c r="D225" i="2"/>
  <c r="E225" i="2"/>
  <c r="F225" i="2"/>
  <c r="G225" i="2"/>
  <c r="H225" i="2"/>
  <c r="U225" i="2" s="1"/>
  <c r="I225" i="2"/>
  <c r="J225" i="2"/>
  <c r="K225" i="2"/>
  <c r="L225" i="2"/>
  <c r="M225" i="2"/>
  <c r="N225" i="2"/>
  <c r="O225" i="2"/>
  <c r="Q225" i="2"/>
  <c r="R225" i="2"/>
  <c r="S225" i="2"/>
  <c r="T225" i="2"/>
  <c r="B226" i="2"/>
  <c r="C226" i="2"/>
  <c r="D226" i="2"/>
  <c r="E226" i="2"/>
  <c r="F226" i="2"/>
  <c r="G226" i="2"/>
  <c r="H226" i="2"/>
  <c r="U226" i="2" s="1"/>
  <c r="I226" i="2"/>
  <c r="J226" i="2"/>
  <c r="K226" i="2"/>
  <c r="L226" i="2"/>
  <c r="M226" i="2"/>
  <c r="N226" i="2"/>
  <c r="O226" i="2"/>
  <c r="Q226" i="2"/>
  <c r="R226" i="2"/>
  <c r="S226" i="2"/>
  <c r="T226" i="2"/>
  <c r="B227" i="2"/>
  <c r="C227" i="2"/>
  <c r="D227" i="2"/>
  <c r="E227" i="2"/>
  <c r="F227" i="2"/>
  <c r="G227" i="2"/>
  <c r="H227" i="2"/>
  <c r="U227" i="2" s="1"/>
  <c r="I227" i="2"/>
  <c r="J227" i="2"/>
  <c r="K227" i="2"/>
  <c r="L227" i="2"/>
  <c r="M227" i="2"/>
  <c r="N227" i="2"/>
  <c r="O227" i="2"/>
  <c r="Q227" i="2"/>
  <c r="R227" i="2"/>
  <c r="S227" i="2"/>
  <c r="T227" i="2"/>
  <c r="B228" i="2"/>
  <c r="C228" i="2"/>
  <c r="D228" i="2"/>
  <c r="E228" i="2"/>
  <c r="F228" i="2"/>
  <c r="G228" i="2"/>
  <c r="H228" i="2"/>
  <c r="U228" i="2" s="1"/>
  <c r="I228" i="2"/>
  <c r="J228" i="2"/>
  <c r="K228" i="2"/>
  <c r="L228" i="2"/>
  <c r="M228" i="2"/>
  <c r="N228" i="2"/>
  <c r="O228" i="2"/>
  <c r="Q228" i="2"/>
  <c r="R228" i="2"/>
  <c r="S228" i="2"/>
  <c r="T228" i="2"/>
  <c r="B229" i="2"/>
  <c r="C229" i="2"/>
  <c r="D229" i="2"/>
  <c r="E229" i="2"/>
  <c r="F229" i="2"/>
  <c r="G229" i="2"/>
  <c r="H229" i="2"/>
  <c r="U229" i="2" s="1"/>
  <c r="I229" i="2"/>
  <c r="J229" i="2"/>
  <c r="K229" i="2"/>
  <c r="L229" i="2"/>
  <c r="M229" i="2"/>
  <c r="N229" i="2"/>
  <c r="O229" i="2"/>
  <c r="Q229" i="2"/>
  <c r="R229" i="2"/>
  <c r="S229" i="2"/>
  <c r="T229" i="2"/>
  <c r="B230" i="2"/>
  <c r="C230" i="2"/>
  <c r="D230" i="2"/>
  <c r="E230" i="2"/>
  <c r="F230" i="2"/>
  <c r="G230" i="2"/>
  <c r="H230" i="2"/>
  <c r="U230" i="2" s="1"/>
  <c r="I230" i="2"/>
  <c r="J230" i="2"/>
  <c r="K230" i="2"/>
  <c r="L230" i="2"/>
  <c r="M230" i="2"/>
  <c r="N230" i="2"/>
  <c r="O230" i="2"/>
  <c r="Q230" i="2"/>
  <c r="R230" i="2"/>
  <c r="S230" i="2"/>
  <c r="T230" i="2"/>
  <c r="B231" i="2"/>
  <c r="C231" i="2"/>
  <c r="D231" i="2"/>
  <c r="E231" i="2"/>
  <c r="F231" i="2"/>
  <c r="G231" i="2"/>
  <c r="H231" i="2"/>
  <c r="U231" i="2" s="1"/>
  <c r="I231" i="2"/>
  <c r="J231" i="2"/>
  <c r="K231" i="2"/>
  <c r="L231" i="2"/>
  <c r="M231" i="2"/>
  <c r="N231" i="2"/>
  <c r="O231" i="2"/>
  <c r="Q231" i="2"/>
  <c r="R231" i="2"/>
  <c r="S231" i="2"/>
  <c r="T231" i="2"/>
  <c r="B232" i="2"/>
  <c r="C232" i="2"/>
  <c r="D232" i="2"/>
  <c r="E232" i="2"/>
  <c r="F232" i="2"/>
  <c r="G232" i="2"/>
  <c r="H232" i="2"/>
  <c r="U232" i="2" s="1"/>
  <c r="I232" i="2"/>
  <c r="J232" i="2"/>
  <c r="K232" i="2"/>
  <c r="L232" i="2"/>
  <c r="M232" i="2"/>
  <c r="N232" i="2"/>
  <c r="O232" i="2"/>
  <c r="Q232" i="2"/>
  <c r="R232" i="2"/>
  <c r="S232" i="2"/>
  <c r="T232" i="2"/>
  <c r="B233" i="2"/>
  <c r="C233" i="2"/>
  <c r="D233" i="2"/>
  <c r="E233" i="2"/>
  <c r="F233" i="2"/>
  <c r="G233" i="2"/>
  <c r="H233" i="2"/>
  <c r="U233" i="2" s="1"/>
  <c r="I233" i="2"/>
  <c r="J233" i="2"/>
  <c r="K233" i="2"/>
  <c r="L233" i="2"/>
  <c r="M233" i="2"/>
  <c r="N233" i="2"/>
  <c r="O233" i="2"/>
  <c r="Q233" i="2"/>
  <c r="R233" i="2"/>
  <c r="S233" i="2"/>
  <c r="T233" i="2"/>
  <c r="B234" i="2"/>
  <c r="C234" i="2"/>
  <c r="D234" i="2"/>
  <c r="E234" i="2"/>
  <c r="F234" i="2"/>
  <c r="G234" i="2"/>
  <c r="H234" i="2"/>
  <c r="U234" i="2" s="1"/>
  <c r="I234" i="2"/>
  <c r="J234" i="2"/>
  <c r="K234" i="2"/>
  <c r="L234" i="2"/>
  <c r="M234" i="2"/>
  <c r="N234" i="2"/>
  <c r="O234" i="2"/>
  <c r="Q234" i="2"/>
  <c r="R234" i="2"/>
  <c r="S234" i="2"/>
  <c r="T234" i="2"/>
  <c r="B235" i="2"/>
  <c r="C235" i="2"/>
  <c r="D235" i="2"/>
  <c r="E235" i="2"/>
  <c r="F235" i="2"/>
  <c r="G235" i="2"/>
  <c r="H235" i="2"/>
  <c r="U235" i="2" s="1"/>
  <c r="I235" i="2"/>
  <c r="J235" i="2"/>
  <c r="K235" i="2"/>
  <c r="L235" i="2"/>
  <c r="M235" i="2"/>
  <c r="N235" i="2"/>
  <c r="O235" i="2"/>
  <c r="Q235" i="2"/>
  <c r="R235" i="2"/>
  <c r="S235" i="2"/>
  <c r="T235" i="2"/>
  <c r="B236" i="2"/>
  <c r="C236" i="2"/>
  <c r="D236" i="2"/>
  <c r="E236" i="2"/>
  <c r="F236" i="2"/>
  <c r="G236" i="2"/>
  <c r="H236" i="2"/>
  <c r="U236" i="2" s="1"/>
  <c r="I236" i="2"/>
  <c r="J236" i="2"/>
  <c r="K236" i="2"/>
  <c r="L236" i="2"/>
  <c r="M236" i="2"/>
  <c r="N236" i="2"/>
  <c r="O236" i="2"/>
  <c r="Q236" i="2"/>
  <c r="R236" i="2"/>
  <c r="S236" i="2"/>
  <c r="T236" i="2"/>
  <c r="B237" i="2"/>
  <c r="C237" i="2"/>
  <c r="D237" i="2"/>
  <c r="E237" i="2"/>
  <c r="F237" i="2"/>
  <c r="G237" i="2"/>
  <c r="H237" i="2"/>
  <c r="U237" i="2" s="1"/>
  <c r="I237" i="2"/>
  <c r="J237" i="2"/>
  <c r="K237" i="2"/>
  <c r="L237" i="2"/>
  <c r="M237" i="2"/>
  <c r="N237" i="2"/>
  <c r="O237" i="2"/>
  <c r="Q237" i="2"/>
  <c r="R237" i="2"/>
  <c r="S237" i="2"/>
  <c r="T237" i="2"/>
  <c r="B238" i="2"/>
  <c r="C238" i="2"/>
  <c r="D238" i="2"/>
  <c r="E238" i="2"/>
  <c r="F238" i="2"/>
  <c r="G238" i="2"/>
  <c r="H238" i="2"/>
  <c r="U238" i="2" s="1"/>
  <c r="I238" i="2"/>
  <c r="J238" i="2"/>
  <c r="K238" i="2"/>
  <c r="L238" i="2"/>
  <c r="M238" i="2"/>
  <c r="N238" i="2"/>
  <c r="O238" i="2"/>
  <c r="Q238" i="2"/>
  <c r="R238" i="2"/>
  <c r="S238" i="2"/>
  <c r="T238" i="2"/>
  <c r="B239" i="2"/>
  <c r="C239" i="2"/>
  <c r="D239" i="2"/>
  <c r="E239" i="2"/>
  <c r="F239" i="2"/>
  <c r="G239" i="2"/>
  <c r="H239" i="2"/>
  <c r="U239" i="2" s="1"/>
  <c r="I239" i="2"/>
  <c r="J239" i="2"/>
  <c r="K239" i="2"/>
  <c r="L239" i="2"/>
  <c r="M239" i="2"/>
  <c r="N239" i="2"/>
  <c r="O239" i="2"/>
  <c r="Q239" i="2"/>
  <c r="R239" i="2"/>
  <c r="S239" i="2"/>
  <c r="T239" i="2"/>
  <c r="B240" i="2"/>
  <c r="C240" i="2"/>
  <c r="D240" i="2"/>
  <c r="E240" i="2"/>
  <c r="F240" i="2"/>
  <c r="G240" i="2"/>
  <c r="H240" i="2"/>
  <c r="U240" i="2" s="1"/>
  <c r="I240" i="2"/>
  <c r="J240" i="2"/>
  <c r="K240" i="2"/>
  <c r="L240" i="2"/>
  <c r="M240" i="2"/>
  <c r="N240" i="2"/>
  <c r="O240" i="2"/>
  <c r="Q240" i="2"/>
  <c r="R240" i="2"/>
  <c r="S240" i="2"/>
  <c r="T240" i="2"/>
  <c r="B241" i="2"/>
  <c r="C241" i="2"/>
  <c r="D241" i="2"/>
  <c r="E241" i="2"/>
  <c r="F241" i="2"/>
  <c r="G241" i="2"/>
  <c r="H241" i="2"/>
  <c r="U241" i="2" s="1"/>
  <c r="I241" i="2"/>
  <c r="J241" i="2"/>
  <c r="K241" i="2"/>
  <c r="L241" i="2"/>
  <c r="M241" i="2"/>
  <c r="N241" i="2"/>
  <c r="O241" i="2"/>
  <c r="Q241" i="2"/>
  <c r="R241" i="2"/>
  <c r="S241" i="2"/>
  <c r="T241" i="2"/>
  <c r="B242" i="2"/>
  <c r="C242" i="2"/>
  <c r="D242" i="2"/>
  <c r="E242" i="2"/>
  <c r="F242" i="2"/>
  <c r="G242" i="2"/>
  <c r="H242" i="2"/>
  <c r="U242" i="2" s="1"/>
  <c r="I242" i="2"/>
  <c r="J242" i="2"/>
  <c r="K242" i="2"/>
  <c r="L242" i="2"/>
  <c r="M242" i="2"/>
  <c r="N242" i="2"/>
  <c r="O242" i="2"/>
  <c r="Q242" i="2"/>
  <c r="R242" i="2"/>
  <c r="S242" i="2"/>
  <c r="T242" i="2"/>
  <c r="B243" i="2"/>
  <c r="C243" i="2"/>
  <c r="D243" i="2"/>
  <c r="E243" i="2"/>
  <c r="F243" i="2"/>
  <c r="G243" i="2"/>
  <c r="H243" i="2"/>
  <c r="U243" i="2" s="1"/>
  <c r="I243" i="2"/>
  <c r="J243" i="2"/>
  <c r="K243" i="2"/>
  <c r="L243" i="2"/>
  <c r="M243" i="2"/>
  <c r="N243" i="2"/>
  <c r="O243" i="2"/>
  <c r="Q243" i="2"/>
  <c r="R243" i="2"/>
  <c r="S243" i="2"/>
  <c r="T243" i="2"/>
  <c r="B244" i="2"/>
  <c r="C244" i="2"/>
  <c r="D244" i="2"/>
  <c r="E244" i="2"/>
  <c r="F244" i="2"/>
  <c r="G244" i="2"/>
  <c r="H244" i="2"/>
  <c r="U244" i="2" s="1"/>
  <c r="I244" i="2"/>
  <c r="J244" i="2"/>
  <c r="K244" i="2"/>
  <c r="L244" i="2"/>
  <c r="M244" i="2"/>
  <c r="N244" i="2"/>
  <c r="O244" i="2"/>
  <c r="Q244" i="2"/>
  <c r="R244" i="2"/>
  <c r="S244" i="2"/>
  <c r="T244" i="2"/>
  <c r="B245" i="2"/>
  <c r="C245" i="2"/>
  <c r="D245" i="2"/>
  <c r="E245" i="2"/>
  <c r="F245" i="2"/>
  <c r="G245" i="2"/>
  <c r="H245" i="2"/>
  <c r="U245" i="2" s="1"/>
  <c r="I245" i="2"/>
  <c r="J245" i="2"/>
  <c r="K245" i="2"/>
  <c r="L245" i="2"/>
  <c r="M245" i="2"/>
  <c r="N245" i="2"/>
  <c r="O245" i="2"/>
  <c r="Q245" i="2"/>
  <c r="R245" i="2"/>
  <c r="S245" i="2"/>
  <c r="T245" i="2"/>
  <c r="B246" i="2"/>
  <c r="C246" i="2"/>
  <c r="D246" i="2"/>
  <c r="E246" i="2"/>
  <c r="F246" i="2"/>
  <c r="G246" i="2"/>
  <c r="H246" i="2"/>
  <c r="U246" i="2" s="1"/>
  <c r="I246" i="2"/>
  <c r="J246" i="2"/>
  <c r="K246" i="2"/>
  <c r="L246" i="2"/>
  <c r="M246" i="2"/>
  <c r="N246" i="2"/>
  <c r="O246" i="2"/>
  <c r="Q246" i="2"/>
  <c r="R246" i="2"/>
  <c r="S246" i="2"/>
  <c r="T246" i="2"/>
  <c r="B247" i="2"/>
  <c r="C247" i="2"/>
  <c r="D247" i="2"/>
  <c r="E247" i="2"/>
  <c r="F247" i="2"/>
  <c r="G247" i="2"/>
  <c r="H247" i="2"/>
  <c r="U247" i="2" s="1"/>
  <c r="I247" i="2"/>
  <c r="J247" i="2"/>
  <c r="K247" i="2"/>
  <c r="L247" i="2"/>
  <c r="M247" i="2"/>
  <c r="N247" i="2"/>
  <c r="O247" i="2"/>
  <c r="Q247" i="2"/>
  <c r="R247" i="2"/>
  <c r="S247" i="2"/>
  <c r="T247" i="2"/>
  <c r="B248" i="2"/>
  <c r="C248" i="2"/>
  <c r="D248" i="2"/>
  <c r="E248" i="2"/>
  <c r="F248" i="2"/>
  <c r="G248" i="2"/>
  <c r="H248" i="2"/>
  <c r="U248" i="2" s="1"/>
  <c r="I248" i="2"/>
  <c r="J248" i="2"/>
  <c r="K248" i="2"/>
  <c r="L248" i="2"/>
  <c r="M248" i="2"/>
  <c r="N248" i="2"/>
  <c r="O248" i="2"/>
  <c r="Q248" i="2"/>
  <c r="R248" i="2"/>
  <c r="S248" i="2"/>
  <c r="T248" i="2"/>
  <c r="B249" i="2"/>
  <c r="C249" i="2"/>
  <c r="D249" i="2"/>
  <c r="E249" i="2"/>
  <c r="F249" i="2"/>
  <c r="G249" i="2"/>
  <c r="H249" i="2"/>
  <c r="U249" i="2" s="1"/>
  <c r="I249" i="2"/>
  <c r="J249" i="2"/>
  <c r="K249" i="2"/>
  <c r="L249" i="2"/>
  <c r="M249" i="2"/>
  <c r="N249" i="2"/>
  <c r="O249" i="2"/>
  <c r="Q249" i="2"/>
  <c r="R249" i="2"/>
  <c r="S249" i="2"/>
  <c r="T249" i="2"/>
  <c r="B250" i="2"/>
  <c r="C250" i="2"/>
  <c r="D250" i="2"/>
  <c r="E250" i="2"/>
  <c r="F250" i="2"/>
  <c r="G250" i="2"/>
  <c r="H250" i="2"/>
  <c r="U250" i="2" s="1"/>
  <c r="I250" i="2"/>
  <c r="J250" i="2"/>
  <c r="K250" i="2"/>
  <c r="L250" i="2"/>
  <c r="M250" i="2"/>
  <c r="N250" i="2"/>
  <c r="O250" i="2"/>
  <c r="Q250" i="2"/>
  <c r="R250" i="2"/>
  <c r="S250" i="2"/>
  <c r="T250" i="2"/>
  <c r="B251" i="2"/>
  <c r="C251" i="2"/>
  <c r="D251" i="2"/>
  <c r="E251" i="2"/>
  <c r="F251" i="2"/>
  <c r="G251" i="2"/>
  <c r="H251" i="2"/>
  <c r="U251" i="2" s="1"/>
  <c r="I251" i="2"/>
  <c r="J251" i="2"/>
  <c r="K251" i="2"/>
  <c r="L251" i="2"/>
  <c r="M251" i="2"/>
  <c r="N251" i="2"/>
  <c r="O251" i="2"/>
  <c r="Q251" i="2"/>
  <c r="R251" i="2"/>
  <c r="S251" i="2"/>
  <c r="T251" i="2"/>
  <c r="B252" i="2"/>
  <c r="C252" i="2"/>
  <c r="D252" i="2"/>
  <c r="E252" i="2"/>
  <c r="F252" i="2"/>
  <c r="G252" i="2"/>
  <c r="H252" i="2"/>
  <c r="U252" i="2" s="1"/>
  <c r="I252" i="2"/>
  <c r="J252" i="2"/>
  <c r="K252" i="2"/>
  <c r="L252" i="2"/>
  <c r="M252" i="2"/>
  <c r="N252" i="2"/>
  <c r="O252" i="2"/>
  <c r="Q252" i="2"/>
  <c r="R252" i="2"/>
  <c r="S252" i="2"/>
  <c r="T252" i="2"/>
  <c r="B253" i="2"/>
  <c r="C253" i="2"/>
  <c r="D253" i="2"/>
  <c r="E253" i="2"/>
  <c r="F253" i="2"/>
  <c r="G253" i="2"/>
  <c r="H253" i="2"/>
  <c r="U253" i="2" s="1"/>
  <c r="I253" i="2"/>
  <c r="J253" i="2"/>
  <c r="K253" i="2"/>
  <c r="L253" i="2"/>
  <c r="M253" i="2"/>
  <c r="N253" i="2"/>
  <c r="O253" i="2"/>
  <c r="Q253" i="2"/>
  <c r="R253" i="2"/>
  <c r="S253" i="2"/>
  <c r="T253" i="2"/>
  <c r="B254" i="2"/>
  <c r="C254" i="2"/>
  <c r="D254" i="2"/>
  <c r="E254" i="2"/>
  <c r="F254" i="2"/>
  <c r="G254" i="2"/>
  <c r="H254" i="2"/>
  <c r="U254" i="2" s="1"/>
  <c r="I254" i="2"/>
  <c r="J254" i="2"/>
  <c r="K254" i="2"/>
  <c r="L254" i="2"/>
  <c r="M254" i="2"/>
  <c r="N254" i="2"/>
  <c r="O254" i="2"/>
  <c r="Q254" i="2"/>
  <c r="R254" i="2"/>
  <c r="S254" i="2"/>
  <c r="T254" i="2"/>
  <c r="B255" i="2"/>
  <c r="C255" i="2"/>
  <c r="D255" i="2"/>
  <c r="E255" i="2"/>
  <c r="F255" i="2"/>
  <c r="G255" i="2"/>
  <c r="H255" i="2"/>
  <c r="U255" i="2" s="1"/>
  <c r="I255" i="2"/>
  <c r="J255" i="2"/>
  <c r="K255" i="2"/>
  <c r="L255" i="2"/>
  <c r="M255" i="2"/>
  <c r="N255" i="2"/>
  <c r="O255" i="2"/>
  <c r="Q255" i="2"/>
  <c r="R255" i="2"/>
  <c r="S255" i="2"/>
  <c r="T255" i="2"/>
  <c r="B256" i="2"/>
  <c r="C256" i="2"/>
  <c r="D256" i="2"/>
  <c r="E256" i="2"/>
  <c r="F256" i="2"/>
  <c r="G256" i="2"/>
  <c r="H256" i="2"/>
  <c r="U256" i="2" s="1"/>
  <c r="I256" i="2"/>
  <c r="J256" i="2"/>
  <c r="K256" i="2"/>
  <c r="L256" i="2"/>
  <c r="M256" i="2"/>
  <c r="N256" i="2"/>
  <c r="O256" i="2"/>
  <c r="Q256" i="2"/>
  <c r="R256" i="2"/>
  <c r="S256" i="2"/>
  <c r="T256" i="2"/>
  <c r="B257" i="2"/>
  <c r="C257" i="2"/>
  <c r="D257" i="2"/>
  <c r="E257" i="2"/>
  <c r="F257" i="2"/>
  <c r="G257" i="2"/>
  <c r="H257" i="2"/>
  <c r="U257" i="2" s="1"/>
  <c r="I257" i="2"/>
  <c r="J257" i="2"/>
  <c r="K257" i="2"/>
  <c r="L257" i="2"/>
  <c r="M257" i="2"/>
  <c r="N257" i="2"/>
  <c r="O257" i="2"/>
  <c r="Q257" i="2"/>
  <c r="R257" i="2"/>
  <c r="S257" i="2"/>
  <c r="T257" i="2"/>
  <c r="B258" i="2"/>
  <c r="C258" i="2"/>
  <c r="D258" i="2"/>
  <c r="E258" i="2"/>
  <c r="F258" i="2"/>
  <c r="G258" i="2"/>
  <c r="H258" i="2"/>
  <c r="U258" i="2" s="1"/>
  <c r="I258" i="2"/>
  <c r="J258" i="2"/>
  <c r="K258" i="2"/>
  <c r="L258" i="2"/>
  <c r="M258" i="2"/>
  <c r="N258" i="2"/>
  <c r="O258" i="2"/>
  <c r="Q258" i="2"/>
  <c r="R258" i="2"/>
  <c r="S258" i="2"/>
  <c r="T258" i="2"/>
  <c r="B259" i="2"/>
  <c r="C259" i="2"/>
  <c r="D259" i="2"/>
  <c r="E259" i="2"/>
  <c r="F259" i="2"/>
  <c r="G259" i="2"/>
  <c r="H259" i="2"/>
  <c r="U259" i="2" s="1"/>
  <c r="I259" i="2"/>
  <c r="J259" i="2"/>
  <c r="K259" i="2"/>
  <c r="L259" i="2"/>
  <c r="M259" i="2"/>
  <c r="N259" i="2"/>
  <c r="O259" i="2"/>
  <c r="Q259" i="2"/>
  <c r="R259" i="2"/>
  <c r="S259" i="2"/>
  <c r="T259" i="2"/>
  <c r="B260" i="2"/>
  <c r="C260" i="2"/>
  <c r="D260" i="2"/>
  <c r="E260" i="2"/>
  <c r="F260" i="2"/>
  <c r="G260" i="2"/>
  <c r="H260" i="2"/>
  <c r="U260" i="2" s="1"/>
  <c r="I260" i="2"/>
  <c r="J260" i="2"/>
  <c r="K260" i="2"/>
  <c r="L260" i="2"/>
  <c r="M260" i="2"/>
  <c r="N260" i="2"/>
  <c r="O260" i="2"/>
  <c r="Q260" i="2"/>
  <c r="R260" i="2"/>
  <c r="S260" i="2"/>
  <c r="T260" i="2"/>
  <c r="B261" i="2"/>
  <c r="C261" i="2"/>
  <c r="D261" i="2"/>
  <c r="E261" i="2"/>
  <c r="F261" i="2"/>
  <c r="G261" i="2"/>
  <c r="H261" i="2"/>
  <c r="U261" i="2" s="1"/>
  <c r="I261" i="2"/>
  <c r="J261" i="2"/>
  <c r="K261" i="2"/>
  <c r="L261" i="2"/>
  <c r="M261" i="2"/>
  <c r="N261" i="2"/>
  <c r="O261" i="2"/>
  <c r="Q261" i="2"/>
  <c r="R261" i="2"/>
  <c r="S261" i="2"/>
  <c r="T261" i="2"/>
  <c r="B262" i="2"/>
  <c r="C262" i="2"/>
  <c r="D262" i="2"/>
  <c r="E262" i="2"/>
  <c r="F262" i="2"/>
  <c r="G262" i="2"/>
  <c r="H262" i="2"/>
  <c r="U262" i="2" s="1"/>
  <c r="I262" i="2"/>
  <c r="J262" i="2"/>
  <c r="K262" i="2"/>
  <c r="L262" i="2"/>
  <c r="M262" i="2"/>
  <c r="N262" i="2"/>
  <c r="O262" i="2"/>
  <c r="Q262" i="2"/>
  <c r="R262" i="2"/>
  <c r="S262" i="2"/>
  <c r="T262" i="2"/>
  <c r="B263" i="2"/>
  <c r="C263" i="2"/>
  <c r="D263" i="2"/>
  <c r="E263" i="2"/>
  <c r="F263" i="2"/>
  <c r="G263" i="2"/>
  <c r="H263" i="2"/>
  <c r="U263" i="2" s="1"/>
  <c r="I263" i="2"/>
  <c r="J263" i="2"/>
  <c r="K263" i="2"/>
  <c r="L263" i="2"/>
  <c r="M263" i="2"/>
  <c r="N263" i="2"/>
  <c r="O263" i="2"/>
  <c r="Q263" i="2"/>
  <c r="R263" i="2"/>
  <c r="S263" i="2"/>
  <c r="T263" i="2"/>
  <c r="B264" i="2"/>
  <c r="C264" i="2"/>
  <c r="D264" i="2"/>
  <c r="E264" i="2"/>
  <c r="F264" i="2"/>
  <c r="G264" i="2"/>
  <c r="H264" i="2"/>
  <c r="U264" i="2" s="1"/>
  <c r="I264" i="2"/>
  <c r="J264" i="2"/>
  <c r="K264" i="2"/>
  <c r="L264" i="2"/>
  <c r="M264" i="2"/>
  <c r="N264" i="2"/>
  <c r="O264" i="2"/>
  <c r="Q264" i="2"/>
  <c r="R264" i="2"/>
  <c r="S264" i="2"/>
  <c r="T264" i="2"/>
  <c r="B265" i="2"/>
  <c r="C265" i="2"/>
  <c r="D265" i="2"/>
  <c r="E265" i="2"/>
  <c r="F265" i="2"/>
  <c r="G265" i="2"/>
  <c r="H265" i="2"/>
  <c r="U265" i="2" s="1"/>
  <c r="I265" i="2"/>
  <c r="J265" i="2"/>
  <c r="K265" i="2"/>
  <c r="L265" i="2"/>
  <c r="M265" i="2"/>
  <c r="N265" i="2"/>
  <c r="O265" i="2"/>
  <c r="Q265" i="2"/>
  <c r="R265" i="2"/>
  <c r="S265" i="2"/>
  <c r="T265" i="2"/>
  <c r="B266" i="2"/>
  <c r="C266" i="2"/>
  <c r="D266" i="2"/>
  <c r="E266" i="2"/>
  <c r="F266" i="2"/>
  <c r="G266" i="2"/>
  <c r="H266" i="2"/>
  <c r="U266" i="2" s="1"/>
  <c r="I266" i="2"/>
  <c r="J266" i="2"/>
  <c r="K266" i="2"/>
  <c r="L266" i="2"/>
  <c r="M266" i="2"/>
  <c r="N266" i="2"/>
  <c r="O266" i="2"/>
  <c r="Q266" i="2"/>
  <c r="R266" i="2"/>
  <c r="S266" i="2"/>
  <c r="T266" i="2"/>
  <c r="B267" i="2"/>
  <c r="C267" i="2"/>
  <c r="D267" i="2"/>
  <c r="E267" i="2"/>
  <c r="F267" i="2"/>
  <c r="G267" i="2"/>
  <c r="H267" i="2"/>
  <c r="U267" i="2" s="1"/>
  <c r="I267" i="2"/>
  <c r="J267" i="2"/>
  <c r="K267" i="2"/>
  <c r="L267" i="2"/>
  <c r="M267" i="2"/>
  <c r="N267" i="2"/>
  <c r="O267" i="2"/>
  <c r="Q267" i="2"/>
  <c r="R267" i="2"/>
  <c r="S267" i="2"/>
  <c r="T267" i="2"/>
  <c r="B268" i="2"/>
  <c r="C268" i="2"/>
  <c r="D268" i="2"/>
  <c r="E268" i="2"/>
  <c r="F268" i="2"/>
  <c r="G268" i="2"/>
  <c r="H268" i="2"/>
  <c r="U268" i="2" s="1"/>
  <c r="I268" i="2"/>
  <c r="J268" i="2"/>
  <c r="K268" i="2"/>
  <c r="L268" i="2"/>
  <c r="M268" i="2"/>
  <c r="N268" i="2"/>
  <c r="O268" i="2"/>
  <c r="Q268" i="2"/>
  <c r="R268" i="2"/>
  <c r="S268" i="2"/>
  <c r="T268" i="2"/>
  <c r="B269" i="2"/>
  <c r="C269" i="2"/>
  <c r="D269" i="2"/>
  <c r="E269" i="2"/>
  <c r="F269" i="2"/>
  <c r="G269" i="2"/>
  <c r="H269" i="2"/>
  <c r="U269" i="2" s="1"/>
  <c r="I269" i="2"/>
  <c r="J269" i="2"/>
  <c r="K269" i="2"/>
  <c r="L269" i="2"/>
  <c r="M269" i="2"/>
  <c r="N269" i="2"/>
  <c r="O269" i="2"/>
  <c r="Q269" i="2"/>
  <c r="R269" i="2"/>
  <c r="S269" i="2"/>
  <c r="T269" i="2"/>
  <c r="B270" i="2"/>
  <c r="C270" i="2"/>
  <c r="D270" i="2"/>
  <c r="E270" i="2"/>
  <c r="F270" i="2"/>
  <c r="G270" i="2"/>
  <c r="H270" i="2"/>
  <c r="U270" i="2" s="1"/>
  <c r="I270" i="2"/>
  <c r="J270" i="2"/>
  <c r="K270" i="2"/>
  <c r="L270" i="2"/>
  <c r="M270" i="2"/>
  <c r="N270" i="2"/>
  <c r="O270" i="2"/>
  <c r="Q270" i="2"/>
  <c r="R270" i="2"/>
  <c r="S270" i="2"/>
  <c r="T270" i="2"/>
  <c r="B271" i="2"/>
  <c r="C271" i="2"/>
  <c r="D271" i="2"/>
  <c r="E271" i="2"/>
  <c r="F271" i="2"/>
  <c r="G271" i="2"/>
  <c r="H271" i="2"/>
  <c r="U271" i="2" s="1"/>
  <c r="I271" i="2"/>
  <c r="J271" i="2"/>
  <c r="K271" i="2"/>
  <c r="L271" i="2"/>
  <c r="M271" i="2"/>
  <c r="N271" i="2"/>
  <c r="O271" i="2"/>
  <c r="Q271" i="2"/>
  <c r="R271" i="2"/>
  <c r="S271" i="2"/>
  <c r="T271" i="2"/>
  <c r="B272" i="2"/>
  <c r="C272" i="2"/>
  <c r="D272" i="2"/>
  <c r="E272" i="2"/>
  <c r="F272" i="2"/>
  <c r="G272" i="2"/>
  <c r="H272" i="2"/>
  <c r="U272" i="2" s="1"/>
  <c r="I272" i="2"/>
  <c r="J272" i="2"/>
  <c r="K272" i="2"/>
  <c r="L272" i="2"/>
  <c r="M272" i="2"/>
  <c r="N272" i="2"/>
  <c r="O272" i="2"/>
  <c r="Q272" i="2"/>
  <c r="R272" i="2"/>
  <c r="S272" i="2"/>
  <c r="T272" i="2"/>
  <c r="B273" i="2"/>
  <c r="C273" i="2"/>
  <c r="D273" i="2"/>
  <c r="E273" i="2"/>
  <c r="F273" i="2"/>
  <c r="G273" i="2"/>
  <c r="H273" i="2"/>
  <c r="U273" i="2" s="1"/>
  <c r="I273" i="2"/>
  <c r="J273" i="2"/>
  <c r="K273" i="2"/>
  <c r="L273" i="2"/>
  <c r="M273" i="2"/>
  <c r="N273" i="2"/>
  <c r="O273" i="2"/>
  <c r="Q273" i="2"/>
  <c r="R273" i="2"/>
  <c r="S273" i="2"/>
  <c r="T273" i="2"/>
  <c r="B274" i="2"/>
  <c r="C274" i="2"/>
  <c r="D274" i="2"/>
  <c r="E274" i="2"/>
  <c r="F274" i="2"/>
  <c r="G274" i="2"/>
  <c r="H274" i="2"/>
  <c r="U274" i="2" s="1"/>
  <c r="I274" i="2"/>
  <c r="J274" i="2"/>
  <c r="K274" i="2"/>
  <c r="L274" i="2"/>
  <c r="M274" i="2"/>
  <c r="N274" i="2"/>
  <c r="O274" i="2"/>
  <c r="Q274" i="2"/>
  <c r="R274" i="2"/>
  <c r="S274" i="2"/>
  <c r="T274" i="2"/>
  <c r="B275" i="2"/>
  <c r="C275" i="2"/>
  <c r="D275" i="2"/>
  <c r="E275" i="2"/>
  <c r="F275" i="2"/>
  <c r="G275" i="2"/>
  <c r="H275" i="2"/>
  <c r="U275" i="2" s="1"/>
  <c r="I275" i="2"/>
  <c r="J275" i="2"/>
  <c r="K275" i="2"/>
  <c r="L275" i="2"/>
  <c r="M275" i="2"/>
  <c r="N275" i="2"/>
  <c r="O275" i="2"/>
  <c r="Q275" i="2"/>
  <c r="R275" i="2"/>
  <c r="S275" i="2"/>
  <c r="T275" i="2"/>
  <c r="B276" i="2"/>
  <c r="C276" i="2"/>
  <c r="D276" i="2"/>
  <c r="E276" i="2"/>
  <c r="F276" i="2"/>
  <c r="G276" i="2"/>
  <c r="H276" i="2"/>
  <c r="U276" i="2" s="1"/>
  <c r="I276" i="2"/>
  <c r="J276" i="2"/>
  <c r="K276" i="2"/>
  <c r="L276" i="2"/>
  <c r="M276" i="2"/>
  <c r="N276" i="2"/>
  <c r="O276" i="2"/>
  <c r="Q276" i="2"/>
  <c r="R276" i="2"/>
  <c r="S276" i="2"/>
  <c r="T276" i="2"/>
  <c r="B277" i="2"/>
  <c r="C277" i="2"/>
  <c r="D277" i="2"/>
  <c r="E277" i="2"/>
  <c r="F277" i="2"/>
  <c r="G277" i="2"/>
  <c r="H277" i="2"/>
  <c r="U277" i="2" s="1"/>
  <c r="I277" i="2"/>
  <c r="J277" i="2"/>
  <c r="K277" i="2"/>
  <c r="L277" i="2"/>
  <c r="M277" i="2"/>
  <c r="N277" i="2"/>
  <c r="O277" i="2"/>
  <c r="Q277" i="2"/>
  <c r="R277" i="2"/>
  <c r="S277" i="2"/>
  <c r="T277" i="2"/>
  <c r="B278" i="2"/>
  <c r="C278" i="2"/>
  <c r="D278" i="2"/>
  <c r="E278" i="2"/>
  <c r="F278" i="2"/>
  <c r="G278" i="2"/>
  <c r="H278" i="2"/>
  <c r="U278" i="2" s="1"/>
  <c r="I278" i="2"/>
  <c r="J278" i="2"/>
  <c r="K278" i="2"/>
  <c r="L278" i="2"/>
  <c r="M278" i="2"/>
  <c r="N278" i="2"/>
  <c r="O278" i="2"/>
  <c r="Q278" i="2"/>
  <c r="R278" i="2"/>
  <c r="S278" i="2"/>
  <c r="T278" i="2"/>
  <c r="B279" i="2"/>
  <c r="C279" i="2"/>
  <c r="D279" i="2"/>
  <c r="E279" i="2"/>
  <c r="F279" i="2"/>
  <c r="G279" i="2"/>
  <c r="H279" i="2"/>
  <c r="U279" i="2" s="1"/>
  <c r="I279" i="2"/>
  <c r="J279" i="2"/>
  <c r="K279" i="2"/>
  <c r="L279" i="2"/>
  <c r="M279" i="2"/>
  <c r="N279" i="2"/>
  <c r="O279" i="2"/>
  <c r="Q279" i="2"/>
  <c r="R279" i="2"/>
  <c r="S279" i="2"/>
  <c r="T279" i="2"/>
  <c r="B280" i="2"/>
  <c r="C280" i="2"/>
  <c r="D280" i="2"/>
  <c r="E280" i="2"/>
  <c r="F280" i="2"/>
  <c r="G280" i="2"/>
  <c r="H280" i="2"/>
  <c r="U280" i="2" s="1"/>
  <c r="I280" i="2"/>
  <c r="J280" i="2"/>
  <c r="K280" i="2"/>
  <c r="L280" i="2"/>
  <c r="M280" i="2"/>
  <c r="N280" i="2"/>
  <c r="O280" i="2"/>
  <c r="Q280" i="2"/>
  <c r="R280" i="2"/>
  <c r="S280" i="2"/>
  <c r="T280" i="2"/>
  <c r="B281" i="2"/>
  <c r="C281" i="2"/>
  <c r="D281" i="2"/>
  <c r="E281" i="2"/>
  <c r="F281" i="2"/>
  <c r="G281" i="2"/>
  <c r="H281" i="2"/>
  <c r="U281" i="2" s="1"/>
  <c r="I281" i="2"/>
  <c r="J281" i="2"/>
  <c r="K281" i="2"/>
  <c r="L281" i="2"/>
  <c r="M281" i="2"/>
  <c r="N281" i="2"/>
  <c r="O281" i="2"/>
  <c r="Q281" i="2"/>
  <c r="R281" i="2"/>
  <c r="S281" i="2"/>
  <c r="T281" i="2"/>
  <c r="B282" i="2"/>
  <c r="C282" i="2"/>
  <c r="D282" i="2"/>
  <c r="E282" i="2"/>
  <c r="F282" i="2"/>
  <c r="G282" i="2"/>
  <c r="H282" i="2"/>
  <c r="U282" i="2" s="1"/>
  <c r="I282" i="2"/>
  <c r="J282" i="2"/>
  <c r="K282" i="2"/>
  <c r="L282" i="2"/>
  <c r="M282" i="2"/>
  <c r="N282" i="2"/>
  <c r="O282" i="2"/>
  <c r="Q282" i="2"/>
  <c r="R282" i="2"/>
  <c r="S282" i="2"/>
  <c r="T282" i="2"/>
  <c r="B283" i="2"/>
  <c r="C283" i="2"/>
  <c r="D283" i="2"/>
  <c r="E283" i="2"/>
  <c r="F283" i="2"/>
  <c r="G283" i="2"/>
  <c r="H283" i="2"/>
  <c r="U283" i="2" s="1"/>
  <c r="I283" i="2"/>
  <c r="J283" i="2"/>
  <c r="K283" i="2"/>
  <c r="L283" i="2"/>
  <c r="M283" i="2"/>
  <c r="N283" i="2"/>
  <c r="O283" i="2"/>
  <c r="Q283" i="2"/>
  <c r="R283" i="2"/>
  <c r="S283" i="2"/>
  <c r="T283" i="2"/>
  <c r="B284" i="2"/>
  <c r="C284" i="2"/>
  <c r="D284" i="2"/>
  <c r="E284" i="2"/>
  <c r="F284" i="2"/>
  <c r="G284" i="2"/>
  <c r="H284" i="2"/>
  <c r="U284" i="2" s="1"/>
  <c r="I284" i="2"/>
  <c r="J284" i="2"/>
  <c r="K284" i="2"/>
  <c r="L284" i="2"/>
  <c r="M284" i="2"/>
  <c r="N284" i="2"/>
  <c r="O284" i="2"/>
  <c r="Q284" i="2"/>
  <c r="R284" i="2"/>
  <c r="S284" i="2"/>
  <c r="T284" i="2"/>
  <c r="B285" i="2"/>
  <c r="C285" i="2"/>
  <c r="D285" i="2"/>
  <c r="E285" i="2"/>
  <c r="F285" i="2"/>
  <c r="G285" i="2"/>
  <c r="H285" i="2"/>
  <c r="U285" i="2" s="1"/>
  <c r="I285" i="2"/>
  <c r="J285" i="2"/>
  <c r="K285" i="2"/>
  <c r="L285" i="2"/>
  <c r="M285" i="2"/>
  <c r="N285" i="2"/>
  <c r="O285" i="2"/>
  <c r="Q285" i="2"/>
  <c r="R285" i="2"/>
  <c r="S285" i="2"/>
  <c r="T285" i="2"/>
  <c r="B286" i="2"/>
  <c r="C286" i="2"/>
  <c r="D286" i="2"/>
  <c r="E286" i="2"/>
  <c r="F286" i="2"/>
  <c r="G286" i="2"/>
  <c r="H286" i="2"/>
  <c r="U286" i="2" s="1"/>
  <c r="I286" i="2"/>
  <c r="J286" i="2"/>
  <c r="K286" i="2"/>
  <c r="L286" i="2"/>
  <c r="M286" i="2"/>
  <c r="N286" i="2"/>
  <c r="O286" i="2"/>
  <c r="Q286" i="2"/>
  <c r="R286" i="2"/>
  <c r="S286" i="2"/>
  <c r="T286" i="2"/>
  <c r="B287" i="2"/>
  <c r="C287" i="2"/>
  <c r="D287" i="2"/>
  <c r="E287" i="2"/>
  <c r="F287" i="2"/>
  <c r="G287" i="2"/>
  <c r="H287" i="2"/>
  <c r="U287" i="2" s="1"/>
  <c r="I287" i="2"/>
  <c r="J287" i="2"/>
  <c r="K287" i="2"/>
  <c r="L287" i="2"/>
  <c r="M287" i="2"/>
  <c r="N287" i="2"/>
  <c r="O287" i="2"/>
  <c r="Q287" i="2"/>
  <c r="R287" i="2"/>
  <c r="S287" i="2"/>
  <c r="T287" i="2"/>
  <c r="B288" i="2"/>
  <c r="C288" i="2"/>
  <c r="D288" i="2"/>
  <c r="E288" i="2"/>
  <c r="F288" i="2"/>
  <c r="G288" i="2"/>
  <c r="H288" i="2"/>
  <c r="U288" i="2" s="1"/>
  <c r="I288" i="2"/>
  <c r="J288" i="2"/>
  <c r="K288" i="2"/>
  <c r="L288" i="2"/>
  <c r="M288" i="2"/>
  <c r="N288" i="2"/>
  <c r="O288" i="2"/>
  <c r="Q288" i="2"/>
  <c r="R288" i="2"/>
  <c r="S288" i="2"/>
  <c r="T288" i="2"/>
  <c r="B289" i="2"/>
  <c r="C289" i="2"/>
  <c r="D289" i="2"/>
  <c r="E289" i="2"/>
  <c r="F289" i="2"/>
  <c r="G289" i="2"/>
  <c r="H289" i="2"/>
  <c r="U289" i="2" s="1"/>
  <c r="I289" i="2"/>
  <c r="J289" i="2"/>
  <c r="K289" i="2"/>
  <c r="L289" i="2"/>
  <c r="M289" i="2"/>
  <c r="N289" i="2"/>
  <c r="O289" i="2"/>
  <c r="Q289" i="2"/>
  <c r="R289" i="2"/>
  <c r="S289" i="2"/>
  <c r="T289" i="2"/>
  <c r="B290" i="2"/>
  <c r="C290" i="2"/>
  <c r="D290" i="2"/>
  <c r="E290" i="2"/>
  <c r="F290" i="2"/>
  <c r="G290" i="2"/>
  <c r="H290" i="2"/>
  <c r="U290" i="2" s="1"/>
  <c r="I290" i="2"/>
  <c r="J290" i="2"/>
  <c r="K290" i="2"/>
  <c r="L290" i="2"/>
  <c r="M290" i="2"/>
  <c r="N290" i="2"/>
  <c r="O290" i="2"/>
  <c r="Q290" i="2"/>
  <c r="R290" i="2"/>
  <c r="S290" i="2"/>
  <c r="T290" i="2"/>
  <c r="B291" i="2"/>
  <c r="C291" i="2"/>
  <c r="D291" i="2"/>
  <c r="E291" i="2"/>
  <c r="F291" i="2"/>
  <c r="G291" i="2"/>
  <c r="H291" i="2"/>
  <c r="U291" i="2" s="1"/>
  <c r="I291" i="2"/>
  <c r="J291" i="2"/>
  <c r="K291" i="2"/>
  <c r="L291" i="2"/>
  <c r="M291" i="2"/>
  <c r="N291" i="2"/>
  <c r="O291" i="2"/>
  <c r="Q291" i="2"/>
  <c r="R291" i="2"/>
  <c r="S291" i="2"/>
  <c r="T291" i="2"/>
  <c r="B292" i="2"/>
  <c r="C292" i="2"/>
  <c r="D292" i="2"/>
  <c r="E292" i="2"/>
  <c r="F292" i="2"/>
  <c r="G292" i="2"/>
  <c r="H292" i="2"/>
  <c r="U292" i="2" s="1"/>
  <c r="I292" i="2"/>
  <c r="J292" i="2"/>
  <c r="K292" i="2"/>
  <c r="L292" i="2"/>
  <c r="M292" i="2"/>
  <c r="N292" i="2"/>
  <c r="O292" i="2"/>
  <c r="Q292" i="2"/>
  <c r="R292" i="2"/>
  <c r="S292" i="2"/>
  <c r="T292" i="2"/>
  <c r="B293" i="2"/>
  <c r="C293" i="2"/>
  <c r="D293" i="2"/>
  <c r="E293" i="2"/>
  <c r="F293" i="2"/>
  <c r="G293" i="2"/>
  <c r="H293" i="2"/>
  <c r="U293" i="2" s="1"/>
  <c r="I293" i="2"/>
  <c r="J293" i="2"/>
  <c r="K293" i="2"/>
  <c r="L293" i="2"/>
  <c r="M293" i="2"/>
  <c r="N293" i="2"/>
  <c r="O293" i="2"/>
  <c r="Q293" i="2"/>
  <c r="R293" i="2"/>
  <c r="S293" i="2"/>
  <c r="T293" i="2"/>
  <c r="B294" i="2"/>
  <c r="C294" i="2"/>
  <c r="D294" i="2"/>
  <c r="E294" i="2"/>
  <c r="F294" i="2"/>
  <c r="G294" i="2"/>
  <c r="H294" i="2"/>
  <c r="U294" i="2" s="1"/>
  <c r="I294" i="2"/>
  <c r="J294" i="2"/>
  <c r="K294" i="2"/>
  <c r="L294" i="2"/>
  <c r="M294" i="2"/>
  <c r="N294" i="2"/>
  <c r="O294" i="2"/>
  <c r="Q294" i="2"/>
  <c r="R294" i="2"/>
  <c r="S294" i="2"/>
  <c r="T294" i="2"/>
  <c r="B295" i="2"/>
  <c r="C295" i="2"/>
  <c r="D295" i="2"/>
  <c r="E295" i="2"/>
  <c r="F295" i="2"/>
  <c r="G295" i="2"/>
  <c r="H295" i="2"/>
  <c r="U295" i="2" s="1"/>
  <c r="I295" i="2"/>
  <c r="J295" i="2"/>
  <c r="K295" i="2"/>
  <c r="L295" i="2"/>
  <c r="M295" i="2"/>
  <c r="N295" i="2"/>
  <c r="O295" i="2"/>
  <c r="Q295" i="2"/>
  <c r="R295" i="2"/>
  <c r="S295" i="2"/>
  <c r="T295" i="2"/>
  <c r="B296" i="2"/>
  <c r="C296" i="2"/>
  <c r="D296" i="2"/>
  <c r="E296" i="2"/>
  <c r="F296" i="2"/>
  <c r="G296" i="2"/>
  <c r="H296" i="2"/>
  <c r="U296" i="2" s="1"/>
  <c r="I296" i="2"/>
  <c r="J296" i="2"/>
  <c r="K296" i="2"/>
  <c r="L296" i="2"/>
  <c r="M296" i="2"/>
  <c r="N296" i="2"/>
  <c r="O296" i="2"/>
  <c r="Q296" i="2"/>
  <c r="R296" i="2"/>
  <c r="S296" i="2"/>
  <c r="T296" i="2"/>
  <c r="B297" i="2"/>
  <c r="C297" i="2"/>
  <c r="D297" i="2"/>
  <c r="E297" i="2"/>
  <c r="F297" i="2"/>
  <c r="G297" i="2"/>
  <c r="H297" i="2"/>
  <c r="U297" i="2" s="1"/>
  <c r="I297" i="2"/>
  <c r="J297" i="2"/>
  <c r="K297" i="2"/>
  <c r="L297" i="2"/>
  <c r="M297" i="2"/>
  <c r="N297" i="2"/>
  <c r="O297" i="2"/>
  <c r="Q297" i="2"/>
  <c r="R297" i="2"/>
  <c r="S297" i="2"/>
  <c r="T297" i="2"/>
  <c r="B298" i="2"/>
  <c r="C298" i="2"/>
  <c r="D298" i="2"/>
  <c r="E298" i="2"/>
  <c r="F298" i="2"/>
  <c r="G298" i="2"/>
  <c r="H298" i="2"/>
  <c r="U298" i="2" s="1"/>
  <c r="I298" i="2"/>
  <c r="J298" i="2"/>
  <c r="K298" i="2"/>
  <c r="L298" i="2"/>
  <c r="M298" i="2"/>
  <c r="N298" i="2"/>
  <c r="O298" i="2"/>
  <c r="Q298" i="2"/>
  <c r="R298" i="2"/>
  <c r="S298" i="2"/>
  <c r="T298" i="2"/>
  <c r="B299" i="2"/>
  <c r="C299" i="2"/>
  <c r="D299" i="2"/>
  <c r="E299" i="2"/>
  <c r="F299" i="2"/>
  <c r="G299" i="2"/>
  <c r="H299" i="2"/>
  <c r="U299" i="2" s="1"/>
  <c r="I299" i="2"/>
  <c r="J299" i="2"/>
  <c r="K299" i="2"/>
  <c r="L299" i="2"/>
  <c r="M299" i="2"/>
  <c r="N299" i="2"/>
  <c r="O299" i="2"/>
  <c r="Q299" i="2"/>
  <c r="R299" i="2"/>
  <c r="S299" i="2"/>
  <c r="T299" i="2"/>
  <c r="B300" i="2"/>
  <c r="C300" i="2"/>
  <c r="D300" i="2"/>
  <c r="E300" i="2"/>
  <c r="F300" i="2"/>
  <c r="G300" i="2"/>
  <c r="H300" i="2"/>
  <c r="U300" i="2" s="1"/>
  <c r="I300" i="2"/>
  <c r="J300" i="2"/>
  <c r="K300" i="2"/>
  <c r="L300" i="2"/>
  <c r="M300" i="2"/>
  <c r="N300" i="2"/>
  <c r="O300" i="2"/>
  <c r="Q300" i="2"/>
  <c r="R300" i="2"/>
  <c r="S300" i="2"/>
  <c r="T300" i="2"/>
  <c r="B301" i="2"/>
  <c r="C301" i="2"/>
  <c r="D301" i="2"/>
  <c r="E301" i="2"/>
  <c r="F301" i="2"/>
  <c r="G301" i="2"/>
  <c r="H301" i="2"/>
  <c r="U301" i="2" s="1"/>
  <c r="I301" i="2"/>
  <c r="J301" i="2"/>
  <c r="K301" i="2"/>
  <c r="L301" i="2"/>
  <c r="M301" i="2"/>
  <c r="N301" i="2"/>
  <c r="O301" i="2"/>
  <c r="Q301" i="2"/>
  <c r="R301" i="2"/>
  <c r="S301" i="2"/>
  <c r="T301" i="2"/>
  <c r="B302" i="2"/>
  <c r="C302" i="2"/>
  <c r="D302" i="2"/>
  <c r="E302" i="2"/>
  <c r="F302" i="2"/>
  <c r="G302" i="2"/>
  <c r="H302" i="2"/>
  <c r="U302" i="2" s="1"/>
  <c r="I302" i="2"/>
  <c r="J302" i="2"/>
  <c r="K302" i="2"/>
  <c r="L302" i="2"/>
  <c r="M302" i="2"/>
  <c r="N302" i="2"/>
  <c r="O302" i="2"/>
  <c r="Q302" i="2"/>
  <c r="R302" i="2"/>
  <c r="S302" i="2"/>
  <c r="T302" i="2"/>
  <c r="B303" i="2"/>
  <c r="C303" i="2"/>
  <c r="D303" i="2"/>
  <c r="E303" i="2"/>
  <c r="F303" i="2"/>
  <c r="G303" i="2"/>
  <c r="H303" i="2"/>
  <c r="U303" i="2" s="1"/>
  <c r="I303" i="2"/>
  <c r="J303" i="2"/>
  <c r="K303" i="2"/>
  <c r="L303" i="2"/>
  <c r="M303" i="2"/>
  <c r="N303" i="2"/>
  <c r="O303" i="2"/>
  <c r="Q303" i="2"/>
  <c r="R303" i="2"/>
  <c r="S303" i="2"/>
  <c r="T303" i="2"/>
  <c r="B304" i="2"/>
  <c r="C304" i="2"/>
  <c r="D304" i="2"/>
  <c r="E304" i="2"/>
  <c r="F304" i="2"/>
  <c r="G304" i="2"/>
  <c r="H304" i="2"/>
  <c r="U304" i="2" s="1"/>
  <c r="I304" i="2"/>
  <c r="J304" i="2"/>
  <c r="K304" i="2"/>
  <c r="L304" i="2"/>
  <c r="M304" i="2"/>
  <c r="N304" i="2"/>
  <c r="O304" i="2"/>
  <c r="Q304" i="2"/>
  <c r="R304" i="2"/>
  <c r="S304" i="2"/>
  <c r="T304" i="2"/>
  <c r="B305" i="2"/>
  <c r="C305" i="2"/>
  <c r="D305" i="2"/>
  <c r="E305" i="2"/>
  <c r="F305" i="2"/>
  <c r="G305" i="2"/>
  <c r="H305" i="2"/>
  <c r="U305" i="2" s="1"/>
  <c r="I305" i="2"/>
  <c r="J305" i="2"/>
  <c r="K305" i="2"/>
  <c r="L305" i="2"/>
  <c r="M305" i="2"/>
  <c r="N305" i="2"/>
  <c r="O305" i="2"/>
  <c r="Q305" i="2"/>
  <c r="R305" i="2"/>
  <c r="S305" i="2"/>
  <c r="T305" i="2"/>
  <c r="B306" i="2"/>
  <c r="C306" i="2"/>
  <c r="D306" i="2"/>
  <c r="E306" i="2"/>
  <c r="F306" i="2"/>
  <c r="G306" i="2"/>
  <c r="H306" i="2"/>
  <c r="U306" i="2" s="1"/>
  <c r="I306" i="2"/>
  <c r="J306" i="2"/>
  <c r="K306" i="2"/>
  <c r="L306" i="2"/>
  <c r="M306" i="2"/>
  <c r="N306" i="2"/>
  <c r="O306" i="2"/>
  <c r="Q306" i="2"/>
  <c r="R306" i="2"/>
  <c r="S306" i="2"/>
  <c r="T306" i="2"/>
  <c r="B307" i="2"/>
  <c r="C307" i="2"/>
  <c r="D307" i="2"/>
  <c r="E307" i="2"/>
  <c r="F307" i="2"/>
  <c r="G307" i="2"/>
  <c r="H307" i="2"/>
  <c r="U307" i="2" s="1"/>
  <c r="I307" i="2"/>
  <c r="J307" i="2"/>
  <c r="K307" i="2"/>
  <c r="L307" i="2"/>
  <c r="M307" i="2"/>
  <c r="N307" i="2"/>
  <c r="O307" i="2"/>
  <c r="Q307" i="2"/>
  <c r="R307" i="2"/>
  <c r="S307" i="2"/>
  <c r="T307" i="2"/>
  <c r="B308" i="2"/>
  <c r="C308" i="2"/>
  <c r="D308" i="2"/>
  <c r="E308" i="2"/>
  <c r="F308" i="2"/>
  <c r="G308" i="2"/>
  <c r="H308" i="2"/>
  <c r="U308" i="2" s="1"/>
  <c r="I308" i="2"/>
  <c r="J308" i="2"/>
  <c r="K308" i="2"/>
  <c r="L308" i="2"/>
  <c r="M308" i="2"/>
  <c r="N308" i="2"/>
  <c r="O308" i="2"/>
  <c r="Q308" i="2"/>
  <c r="R308" i="2"/>
  <c r="S308" i="2"/>
  <c r="T308" i="2"/>
  <c r="B309" i="2"/>
  <c r="C309" i="2"/>
  <c r="D309" i="2"/>
  <c r="E309" i="2"/>
  <c r="F309" i="2"/>
  <c r="G309" i="2"/>
  <c r="H309" i="2"/>
  <c r="U309" i="2" s="1"/>
  <c r="I309" i="2"/>
  <c r="J309" i="2"/>
  <c r="K309" i="2"/>
  <c r="L309" i="2"/>
  <c r="M309" i="2"/>
  <c r="N309" i="2"/>
  <c r="O309" i="2"/>
  <c r="Q309" i="2"/>
  <c r="R309" i="2"/>
  <c r="S309" i="2"/>
  <c r="T309" i="2"/>
  <c r="B310" i="2"/>
  <c r="C310" i="2"/>
  <c r="D310" i="2"/>
  <c r="E310" i="2"/>
  <c r="F310" i="2"/>
  <c r="G310" i="2"/>
  <c r="H310" i="2"/>
  <c r="U310" i="2" s="1"/>
  <c r="I310" i="2"/>
  <c r="J310" i="2"/>
  <c r="K310" i="2"/>
  <c r="L310" i="2"/>
  <c r="M310" i="2"/>
  <c r="N310" i="2"/>
  <c r="O310" i="2"/>
  <c r="Q310" i="2"/>
  <c r="R310" i="2"/>
  <c r="S310" i="2"/>
  <c r="T310" i="2"/>
  <c r="B311" i="2"/>
  <c r="C311" i="2"/>
  <c r="D311" i="2"/>
  <c r="E311" i="2"/>
  <c r="F311" i="2"/>
  <c r="G311" i="2"/>
  <c r="H311" i="2"/>
  <c r="U311" i="2" s="1"/>
  <c r="I311" i="2"/>
  <c r="J311" i="2"/>
  <c r="K311" i="2"/>
  <c r="L311" i="2"/>
  <c r="M311" i="2"/>
  <c r="N311" i="2"/>
  <c r="O311" i="2"/>
  <c r="Q311" i="2"/>
  <c r="R311" i="2"/>
  <c r="S311" i="2"/>
  <c r="T311" i="2"/>
  <c r="B312" i="2"/>
  <c r="C312" i="2"/>
  <c r="D312" i="2"/>
  <c r="E312" i="2"/>
  <c r="F312" i="2"/>
  <c r="G312" i="2"/>
  <c r="H312" i="2"/>
  <c r="U312" i="2" s="1"/>
  <c r="I312" i="2"/>
  <c r="J312" i="2"/>
  <c r="K312" i="2"/>
  <c r="L312" i="2"/>
  <c r="M312" i="2"/>
  <c r="N312" i="2"/>
  <c r="O312" i="2"/>
  <c r="Q312" i="2"/>
  <c r="R312" i="2"/>
  <c r="S312" i="2"/>
  <c r="T312" i="2"/>
  <c r="B313" i="2"/>
  <c r="C313" i="2"/>
  <c r="D313" i="2"/>
  <c r="E313" i="2"/>
  <c r="F313" i="2"/>
  <c r="G313" i="2"/>
  <c r="H313" i="2"/>
  <c r="U313" i="2" s="1"/>
  <c r="I313" i="2"/>
  <c r="J313" i="2"/>
  <c r="K313" i="2"/>
  <c r="L313" i="2"/>
  <c r="M313" i="2"/>
  <c r="N313" i="2"/>
  <c r="O313" i="2"/>
  <c r="Q313" i="2"/>
  <c r="R313" i="2"/>
  <c r="S313" i="2"/>
  <c r="T313" i="2"/>
  <c r="B314" i="2"/>
  <c r="C314" i="2"/>
  <c r="D314" i="2"/>
  <c r="E314" i="2"/>
  <c r="F314" i="2"/>
  <c r="G314" i="2"/>
  <c r="H314" i="2"/>
  <c r="U314" i="2" s="1"/>
  <c r="I314" i="2"/>
  <c r="J314" i="2"/>
  <c r="K314" i="2"/>
  <c r="L314" i="2"/>
  <c r="M314" i="2"/>
  <c r="N314" i="2"/>
  <c r="O314" i="2"/>
  <c r="Q314" i="2"/>
  <c r="R314" i="2"/>
  <c r="S314" i="2"/>
  <c r="T314" i="2"/>
  <c r="B315" i="2"/>
  <c r="C315" i="2"/>
  <c r="D315" i="2"/>
  <c r="E315" i="2"/>
  <c r="F315" i="2"/>
  <c r="G315" i="2"/>
  <c r="H315" i="2"/>
  <c r="U315" i="2" s="1"/>
  <c r="I315" i="2"/>
  <c r="J315" i="2"/>
  <c r="K315" i="2"/>
  <c r="L315" i="2"/>
  <c r="M315" i="2"/>
  <c r="N315" i="2"/>
  <c r="O315" i="2"/>
  <c r="Q315" i="2"/>
  <c r="R315" i="2"/>
  <c r="S315" i="2"/>
  <c r="T315" i="2"/>
  <c r="B316" i="2"/>
  <c r="C316" i="2"/>
  <c r="D316" i="2"/>
  <c r="E316" i="2"/>
  <c r="F316" i="2"/>
  <c r="G316" i="2"/>
  <c r="H316" i="2"/>
  <c r="U316" i="2" s="1"/>
  <c r="I316" i="2"/>
  <c r="J316" i="2"/>
  <c r="K316" i="2"/>
  <c r="L316" i="2"/>
  <c r="M316" i="2"/>
  <c r="N316" i="2"/>
  <c r="O316" i="2"/>
  <c r="Q316" i="2"/>
  <c r="R316" i="2"/>
  <c r="S316" i="2"/>
  <c r="T316" i="2"/>
  <c r="B317" i="2"/>
  <c r="C317" i="2"/>
  <c r="D317" i="2"/>
  <c r="E317" i="2"/>
  <c r="F317" i="2"/>
  <c r="G317" i="2"/>
  <c r="H317" i="2"/>
  <c r="U317" i="2" s="1"/>
  <c r="I317" i="2"/>
  <c r="J317" i="2"/>
  <c r="K317" i="2"/>
  <c r="L317" i="2"/>
  <c r="M317" i="2"/>
  <c r="N317" i="2"/>
  <c r="O317" i="2"/>
  <c r="Q317" i="2"/>
  <c r="R317" i="2"/>
  <c r="S317" i="2"/>
  <c r="T317" i="2"/>
  <c r="B318" i="2"/>
  <c r="C318" i="2"/>
  <c r="D318" i="2"/>
  <c r="E318" i="2"/>
  <c r="F318" i="2"/>
  <c r="G318" i="2"/>
  <c r="H318" i="2"/>
  <c r="U318" i="2" s="1"/>
  <c r="I318" i="2"/>
  <c r="J318" i="2"/>
  <c r="K318" i="2"/>
  <c r="L318" i="2"/>
  <c r="M318" i="2"/>
  <c r="N318" i="2"/>
  <c r="O318" i="2"/>
  <c r="Q318" i="2"/>
  <c r="R318" i="2"/>
  <c r="S318" i="2"/>
  <c r="T318" i="2"/>
  <c r="B319" i="2"/>
  <c r="C319" i="2"/>
  <c r="D319" i="2"/>
  <c r="E319" i="2"/>
  <c r="F319" i="2"/>
  <c r="G319" i="2"/>
  <c r="H319" i="2"/>
  <c r="U319" i="2" s="1"/>
  <c r="I319" i="2"/>
  <c r="J319" i="2"/>
  <c r="K319" i="2"/>
  <c r="L319" i="2"/>
  <c r="M319" i="2"/>
  <c r="N319" i="2"/>
  <c r="O319" i="2"/>
  <c r="Q319" i="2"/>
  <c r="R319" i="2"/>
  <c r="S319" i="2"/>
  <c r="T319" i="2"/>
  <c r="B320" i="2"/>
  <c r="C320" i="2"/>
  <c r="D320" i="2"/>
  <c r="E320" i="2"/>
  <c r="F320" i="2"/>
  <c r="G320" i="2"/>
  <c r="H320" i="2"/>
  <c r="U320" i="2" s="1"/>
  <c r="I320" i="2"/>
  <c r="J320" i="2"/>
  <c r="K320" i="2"/>
  <c r="L320" i="2"/>
  <c r="M320" i="2"/>
  <c r="N320" i="2"/>
  <c r="O320" i="2"/>
  <c r="Q320" i="2"/>
  <c r="R320" i="2"/>
  <c r="S320" i="2"/>
  <c r="T320" i="2"/>
  <c r="B321" i="2"/>
  <c r="C321" i="2"/>
  <c r="D321" i="2"/>
  <c r="E321" i="2"/>
  <c r="F321" i="2"/>
  <c r="G321" i="2"/>
  <c r="H321" i="2"/>
  <c r="U321" i="2" s="1"/>
  <c r="I321" i="2"/>
  <c r="J321" i="2"/>
  <c r="K321" i="2"/>
  <c r="L321" i="2"/>
  <c r="M321" i="2"/>
  <c r="N321" i="2"/>
  <c r="O321" i="2"/>
  <c r="Q321" i="2"/>
  <c r="R321" i="2"/>
  <c r="S321" i="2"/>
  <c r="T321" i="2"/>
  <c r="B322" i="2"/>
  <c r="C322" i="2"/>
  <c r="D322" i="2"/>
  <c r="E322" i="2"/>
  <c r="F322" i="2"/>
  <c r="G322" i="2"/>
  <c r="H322" i="2"/>
  <c r="U322" i="2" s="1"/>
  <c r="I322" i="2"/>
  <c r="J322" i="2"/>
  <c r="K322" i="2"/>
  <c r="L322" i="2"/>
  <c r="M322" i="2"/>
  <c r="N322" i="2"/>
  <c r="O322" i="2"/>
  <c r="Q322" i="2"/>
  <c r="R322" i="2"/>
  <c r="S322" i="2"/>
  <c r="T322" i="2"/>
  <c r="B323" i="2"/>
  <c r="C323" i="2"/>
  <c r="D323" i="2"/>
  <c r="E323" i="2"/>
  <c r="F323" i="2"/>
  <c r="G323" i="2"/>
  <c r="H323" i="2"/>
  <c r="U323" i="2" s="1"/>
  <c r="I323" i="2"/>
  <c r="J323" i="2"/>
  <c r="K323" i="2"/>
  <c r="L323" i="2"/>
  <c r="M323" i="2"/>
  <c r="N323" i="2"/>
  <c r="O323" i="2"/>
  <c r="Q323" i="2"/>
  <c r="R323" i="2"/>
  <c r="S323" i="2"/>
  <c r="T323" i="2"/>
  <c r="B324" i="2"/>
  <c r="C324" i="2"/>
  <c r="D324" i="2"/>
  <c r="E324" i="2"/>
  <c r="F324" i="2"/>
  <c r="G324" i="2"/>
  <c r="H324" i="2"/>
  <c r="U324" i="2" s="1"/>
  <c r="I324" i="2"/>
  <c r="J324" i="2"/>
  <c r="K324" i="2"/>
  <c r="L324" i="2"/>
  <c r="M324" i="2"/>
  <c r="N324" i="2"/>
  <c r="O324" i="2"/>
  <c r="Q324" i="2"/>
  <c r="R324" i="2"/>
  <c r="S324" i="2"/>
  <c r="T324" i="2"/>
  <c r="B325" i="2"/>
  <c r="C325" i="2"/>
  <c r="D325" i="2"/>
  <c r="E325" i="2"/>
  <c r="F325" i="2"/>
  <c r="G325" i="2"/>
  <c r="H325" i="2"/>
  <c r="U325" i="2" s="1"/>
  <c r="I325" i="2"/>
  <c r="J325" i="2"/>
  <c r="K325" i="2"/>
  <c r="L325" i="2"/>
  <c r="M325" i="2"/>
  <c r="N325" i="2"/>
  <c r="O325" i="2"/>
  <c r="Q325" i="2"/>
  <c r="R325" i="2"/>
  <c r="S325" i="2"/>
  <c r="T325" i="2"/>
  <c r="B326" i="2"/>
  <c r="C326" i="2"/>
  <c r="D326" i="2"/>
  <c r="E326" i="2"/>
  <c r="F326" i="2"/>
  <c r="G326" i="2"/>
  <c r="H326" i="2"/>
  <c r="U326" i="2" s="1"/>
  <c r="I326" i="2"/>
  <c r="J326" i="2"/>
  <c r="K326" i="2"/>
  <c r="L326" i="2"/>
  <c r="M326" i="2"/>
  <c r="N326" i="2"/>
  <c r="O326" i="2"/>
  <c r="Q326" i="2"/>
  <c r="R326" i="2"/>
  <c r="S326" i="2"/>
  <c r="T326" i="2"/>
  <c r="B327" i="2"/>
  <c r="C327" i="2"/>
  <c r="D327" i="2"/>
  <c r="E327" i="2"/>
  <c r="F327" i="2"/>
  <c r="G327" i="2"/>
  <c r="H327" i="2"/>
  <c r="U327" i="2" s="1"/>
  <c r="I327" i="2"/>
  <c r="J327" i="2"/>
  <c r="K327" i="2"/>
  <c r="L327" i="2"/>
  <c r="M327" i="2"/>
  <c r="N327" i="2"/>
  <c r="O327" i="2"/>
  <c r="Q327" i="2"/>
  <c r="R327" i="2"/>
  <c r="S327" i="2"/>
  <c r="T327" i="2"/>
  <c r="B328" i="2"/>
  <c r="C328" i="2"/>
  <c r="D328" i="2"/>
  <c r="E328" i="2"/>
  <c r="F328" i="2"/>
  <c r="G328" i="2"/>
  <c r="H328" i="2"/>
  <c r="U328" i="2" s="1"/>
  <c r="I328" i="2"/>
  <c r="J328" i="2"/>
  <c r="K328" i="2"/>
  <c r="L328" i="2"/>
  <c r="M328" i="2"/>
  <c r="N328" i="2"/>
  <c r="O328" i="2"/>
  <c r="Q328" i="2"/>
  <c r="R328" i="2"/>
  <c r="S328" i="2"/>
  <c r="T328" i="2"/>
  <c r="B329" i="2"/>
  <c r="C329" i="2"/>
  <c r="D329" i="2"/>
  <c r="E329" i="2"/>
  <c r="F329" i="2"/>
  <c r="G329" i="2"/>
  <c r="H329" i="2"/>
  <c r="U329" i="2" s="1"/>
  <c r="I329" i="2"/>
  <c r="J329" i="2"/>
  <c r="K329" i="2"/>
  <c r="L329" i="2"/>
  <c r="M329" i="2"/>
  <c r="N329" i="2"/>
  <c r="O329" i="2"/>
  <c r="Q329" i="2"/>
  <c r="R329" i="2"/>
  <c r="S329" i="2"/>
  <c r="T329" i="2"/>
  <c r="B330" i="2"/>
  <c r="C330" i="2"/>
  <c r="D330" i="2"/>
  <c r="E330" i="2"/>
  <c r="F330" i="2"/>
  <c r="G330" i="2"/>
  <c r="H330" i="2"/>
  <c r="U330" i="2" s="1"/>
  <c r="I330" i="2"/>
  <c r="J330" i="2"/>
  <c r="K330" i="2"/>
  <c r="L330" i="2"/>
  <c r="M330" i="2"/>
  <c r="N330" i="2"/>
  <c r="O330" i="2"/>
  <c r="Q330" i="2"/>
  <c r="R330" i="2"/>
  <c r="S330" i="2"/>
  <c r="T330" i="2"/>
  <c r="B331" i="2"/>
  <c r="C331" i="2"/>
  <c r="D331" i="2"/>
  <c r="E331" i="2"/>
  <c r="F331" i="2"/>
  <c r="G331" i="2"/>
  <c r="H331" i="2"/>
  <c r="U331" i="2" s="1"/>
  <c r="I331" i="2"/>
  <c r="J331" i="2"/>
  <c r="K331" i="2"/>
  <c r="L331" i="2"/>
  <c r="M331" i="2"/>
  <c r="N331" i="2"/>
  <c r="O331" i="2"/>
  <c r="Q331" i="2"/>
  <c r="R331" i="2"/>
  <c r="S331" i="2"/>
  <c r="T331" i="2"/>
  <c r="B332" i="2"/>
  <c r="C332" i="2"/>
  <c r="D332" i="2"/>
  <c r="E332" i="2"/>
  <c r="F332" i="2"/>
  <c r="G332" i="2"/>
  <c r="H332" i="2"/>
  <c r="U332" i="2" s="1"/>
  <c r="I332" i="2"/>
  <c r="J332" i="2"/>
  <c r="K332" i="2"/>
  <c r="L332" i="2"/>
  <c r="M332" i="2"/>
  <c r="N332" i="2"/>
  <c r="O332" i="2"/>
  <c r="Q332" i="2"/>
  <c r="R332" i="2"/>
  <c r="S332" i="2"/>
  <c r="T332" i="2"/>
  <c r="B333" i="2"/>
  <c r="C333" i="2"/>
  <c r="D333" i="2"/>
  <c r="E333" i="2"/>
  <c r="F333" i="2"/>
  <c r="G333" i="2"/>
  <c r="H333" i="2"/>
  <c r="U333" i="2" s="1"/>
  <c r="I333" i="2"/>
  <c r="J333" i="2"/>
  <c r="K333" i="2"/>
  <c r="L333" i="2"/>
  <c r="M333" i="2"/>
  <c r="N333" i="2"/>
  <c r="O333" i="2"/>
  <c r="Q333" i="2"/>
  <c r="R333" i="2"/>
  <c r="S333" i="2"/>
  <c r="T333" i="2"/>
  <c r="B334" i="2"/>
  <c r="C334" i="2"/>
  <c r="D334" i="2"/>
  <c r="E334" i="2"/>
  <c r="F334" i="2"/>
  <c r="G334" i="2"/>
  <c r="H334" i="2"/>
  <c r="U334" i="2" s="1"/>
  <c r="I334" i="2"/>
  <c r="J334" i="2"/>
  <c r="K334" i="2"/>
  <c r="L334" i="2"/>
  <c r="M334" i="2"/>
  <c r="N334" i="2"/>
  <c r="O334" i="2"/>
  <c r="Q334" i="2"/>
  <c r="R334" i="2"/>
  <c r="S334" i="2"/>
  <c r="T334" i="2"/>
  <c r="B335" i="2"/>
  <c r="C335" i="2"/>
  <c r="D335" i="2"/>
  <c r="E335" i="2"/>
  <c r="F335" i="2"/>
  <c r="G335" i="2"/>
  <c r="H335" i="2"/>
  <c r="U335" i="2" s="1"/>
  <c r="I335" i="2"/>
  <c r="J335" i="2"/>
  <c r="K335" i="2"/>
  <c r="L335" i="2"/>
  <c r="M335" i="2"/>
  <c r="N335" i="2"/>
  <c r="O335" i="2"/>
  <c r="Q335" i="2"/>
  <c r="R335" i="2"/>
  <c r="S335" i="2"/>
  <c r="T335" i="2"/>
  <c r="B336" i="2"/>
  <c r="C336" i="2"/>
  <c r="D336" i="2"/>
  <c r="E336" i="2"/>
  <c r="F336" i="2"/>
  <c r="G336" i="2"/>
  <c r="H336" i="2"/>
  <c r="U336" i="2" s="1"/>
  <c r="I336" i="2"/>
  <c r="J336" i="2"/>
  <c r="K336" i="2"/>
  <c r="L336" i="2"/>
  <c r="M336" i="2"/>
  <c r="N336" i="2"/>
  <c r="O336" i="2"/>
  <c r="Q336" i="2"/>
  <c r="R336" i="2"/>
  <c r="S336" i="2"/>
  <c r="T336" i="2"/>
  <c r="B337" i="2"/>
  <c r="C337" i="2"/>
  <c r="D337" i="2"/>
  <c r="E337" i="2"/>
  <c r="F337" i="2"/>
  <c r="G337" i="2"/>
  <c r="H337" i="2"/>
  <c r="U337" i="2" s="1"/>
  <c r="I337" i="2"/>
  <c r="J337" i="2"/>
  <c r="K337" i="2"/>
  <c r="L337" i="2"/>
  <c r="M337" i="2"/>
  <c r="N337" i="2"/>
  <c r="O337" i="2"/>
  <c r="Q337" i="2"/>
  <c r="R337" i="2"/>
  <c r="S337" i="2"/>
  <c r="T337" i="2"/>
  <c r="B338" i="2"/>
  <c r="C338" i="2"/>
  <c r="D338" i="2"/>
  <c r="E338" i="2"/>
  <c r="F338" i="2"/>
  <c r="G338" i="2"/>
  <c r="H338" i="2"/>
  <c r="U338" i="2" s="1"/>
  <c r="I338" i="2"/>
  <c r="J338" i="2"/>
  <c r="K338" i="2"/>
  <c r="L338" i="2"/>
  <c r="M338" i="2"/>
  <c r="N338" i="2"/>
  <c r="O338" i="2"/>
  <c r="Q338" i="2"/>
  <c r="R338" i="2"/>
  <c r="S338" i="2"/>
  <c r="T338" i="2"/>
  <c r="B339" i="2"/>
  <c r="C339" i="2"/>
  <c r="D339" i="2"/>
  <c r="E339" i="2"/>
  <c r="F339" i="2"/>
  <c r="G339" i="2"/>
  <c r="H339" i="2"/>
  <c r="U339" i="2" s="1"/>
  <c r="I339" i="2"/>
  <c r="J339" i="2"/>
  <c r="K339" i="2"/>
  <c r="L339" i="2"/>
  <c r="M339" i="2"/>
  <c r="N339" i="2"/>
  <c r="O339" i="2"/>
  <c r="Q339" i="2"/>
  <c r="R339" i="2"/>
  <c r="S339" i="2"/>
  <c r="T339" i="2"/>
  <c r="B340" i="2"/>
  <c r="C340" i="2"/>
  <c r="D340" i="2"/>
  <c r="E340" i="2"/>
  <c r="F340" i="2"/>
  <c r="G340" i="2"/>
  <c r="H340" i="2"/>
  <c r="U340" i="2" s="1"/>
  <c r="I340" i="2"/>
  <c r="J340" i="2"/>
  <c r="K340" i="2"/>
  <c r="L340" i="2"/>
  <c r="M340" i="2"/>
  <c r="N340" i="2"/>
  <c r="O340" i="2"/>
  <c r="Q340" i="2"/>
  <c r="R340" i="2"/>
  <c r="S340" i="2"/>
  <c r="T340" i="2"/>
  <c r="B341" i="2"/>
  <c r="C341" i="2"/>
  <c r="D341" i="2"/>
  <c r="E341" i="2"/>
  <c r="F341" i="2"/>
  <c r="G341" i="2"/>
  <c r="H341" i="2"/>
  <c r="U341" i="2" s="1"/>
  <c r="I341" i="2"/>
  <c r="J341" i="2"/>
  <c r="K341" i="2"/>
  <c r="L341" i="2"/>
  <c r="M341" i="2"/>
  <c r="N341" i="2"/>
  <c r="O341" i="2"/>
  <c r="Q341" i="2"/>
  <c r="R341" i="2"/>
  <c r="S341" i="2"/>
  <c r="T341" i="2"/>
  <c r="B342" i="2"/>
  <c r="C342" i="2"/>
  <c r="D342" i="2"/>
  <c r="E342" i="2"/>
  <c r="F342" i="2"/>
  <c r="G342" i="2"/>
  <c r="H342" i="2"/>
  <c r="U342" i="2" s="1"/>
  <c r="I342" i="2"/>
  <c r="J342" i="2"/>
  <c r="K342" i="2"/>
  <c r="L342" i="2"/>
  <c r="M342" i="2"/>
  <c r="N342" i="2"/>
  <c r="O342" i="2"/>
  <c r="Q342" i="2"/>
  <c r="R342" i="2"/>
  <c r="S342" i="2"/>
  <c r="T342" i="2"/>
  <c r="B343" i="2"/>
  <c r="C343" i="2"/>
  <c r="D343" i="2"/>
  <c r="E343" i="2"/>
  <c r="F343" i="2"/>
  <c r="G343" i="2"/>
  <c r="H343" i="2"/>
  <c r="U343" i="2" s="1"/>
  <c r="I343" i="2"/>
  <c r="J343" i="2"/>
  <c r="K343" i="2"/>
  <c r="L343" i="2"/>
  <c r="M343" i="2"/>
  <c r="N343" i="2"/>
  <c r="O343" i="2"/>
  <c r="Q343" i="2"/>
  <c r="R343" i="2"/>
  <c r="S343" i="2"/>
  <c r="T343" i="2"/>
  <c r="B344" i="2"/>
  <c r="C344" i="2"/>
  <c r="D344" i="2"/>
  <c r="E344" i="2"/>
  <c r="F344" i="2"/>
  <c r="G344" i="2"/>
  <c r="H344" i="2"/>
  <c r="U344" i="2" s="1"/>
  <c r="I344" i="2"/>
  <c r="J344" i="2"/>
  <c r="K344" i="2"/>
  <c r="L344" i="2"/>
  <c r="M344" i="2"/>
  <c r="N344" i="2"/>
  <c r="O344" i="2"/>
  <c r="Q344" i="2"/>
  <c r="R344" i="2"/>
  <c r="S344" i="2"/>
  <c r="T344" i="2"/>
  <c r="B345" i="2"/>
  <c r="C345" i="2"/>
  <c r="D345" i="2"/>
  <c r="E345" i="2"/>
  <c r="F345" i="2"/>
  <c r="G345" i="2"/>
  <c r="H345" i="2"/>
  <c r="U345" i="2" s="1"/>
  <c r="I345" i="2"/>
  <c r="J345" i="2"/>
  <c r="K345" i="2"/>
  <c r="L345" i="2"/>
  <c r="M345" i="2"/>
  <c r="N345" i="2"/>
  <c r="O345" i="2"/>
  <c r="Q345" i="2"/>
  <c r="R345" i="2"/>
  <c r="S345" i="2"/>
  <c r="T345" i="2"/>
  <c r="B346" i="2"/>
  <c r="C346" i="2"/>
  <c r="D346" i="2"/>
  <c r="E346" i="2"/>
  <c r="F346" i="2"/>
  <c r="G346" i="2"/>
  <c r="H346" i="2"/>
  <c r="U346" i="2" s="1"/>
  <c r="I346" i="2"/>
  <c r="J346" i="2"/>
  <c r="K346" i="2"/>
  <c r="L346" i="2"/>
  <c r="M346" i="2"/>
  <c r="N346" i="2"/>
  <c r="O346" i="2"/>
  <c r="Q346" i="2"/>
  <c r="R346" i="2"/>
  <c r="S346" i="2"/>
  <c r="T346" i="2"/>
  <c r="B347" i="2"/>
  <c r="C347" i="2"/>
  <c r="D347" i="2"/>
  <c r="E347" i="2"/>
  <c r="F347" i="2"/>
  <c r="G347" i="2"/>
  <c r="H347" i="2"/>
  <c r="U347" i="2" s="1"/>
  <c r="I347" i="2"/>
  <c r="J347" i="2"/>
  <c r="K347" i="2"/>
  <c r="L347" i="2"/>
  <c r="M347" i="2"/>
  <c r="N347" i="2"/>
  <c r="O347" i="2"/>
  <c r="Q347" i="2"/>
  <c r="R347" i="2"/>
  <c r="S347" i="2"/>
  <c r="T347" i="2"/>
  <c r="B348" i="2"/>
  <c r="C348" i="2"/>
  <c r="D348" i="2"/>
  <c r="E348" i="2"/>
  <c r="F348" i="2"/>
  <c r="G348" i="2"/>
  <c r="H348" i="2"/>
  <c r="U348" i="2" s="1"/>
  <c r="I348" i="2"/>
  <c r="J348" i="2"/>
  <c r="K348" i="2"/>
  <c r="L348" i="2"/>
  <c r="M348" i="2"/>
  <c r="N348" i="2"/>
  <c r="O348" i="2"/>
  <c r="Q348" i="2"/>
  <c r="R348" i="2"/>
  <c r="S348" i="2"/>
  <c r="T348" i="2"/>
  <c r="B349" i="2"/>
  <c r="C349" i="2"/>
  <c r="D349" i="2"/>
  <c r="E349" i="2"/>
  <c r="F349" i="2"/>
  <c r="G349" i="2"/>
  <c r="H349" i="2"/>
  <c r="U349" i="2" s="1"/>
  <c r="I349" i="2"/>
  <c r="J349" i="2"/>
  <c r="K349" i="2"/>
  <c r="L349" i="2"/>
  <c r="M349" i="2"/>
  <c r="N349" i="2"/>
  <c r="O349" i="2"/>
  <c r="Q349" i="2"/>
  <c r="R349" i="2"/>
  <c r="S349" i="2"/>
  <c r="T349" i="2"/>
  <c r="B350" i="2"/>
  <c r="C350" i="2"/>
  <c r="D350" i="2"/>
  <c r="E350" i="2"/>
  <c r="F350" i="2"/>
  <c r="G350" i="2"/>
  <c r="H350" i="2"/>
  <c r="U350" i="2" s="1"/>
  <c r="I350" i="2"/>
  <c r="J350" i="2"/>
  <c r="K350" i="2"/>
  <c r="L350" i="2"/>
  <c r="M350" i="2"/>
  <c r="N350" i="2"/>
  <c r="O350" i="2"/>
  <c r="Q350" i="2"/>
  <c r="R350" i="2"/>
  <c r="S350" i="2"/>
  <c r="T350" i="2"/>
  <c r="B351" i="2"/>
  <c r="C351" i="2"/>
  <c r="D351" i="2"/>
  <c r="E351" i="2"/>
  <c r="F351" i="2"/>
  <c r="G351" i="2"/>
  <c r="H351" i="2"/>
  <c r="U351" i="2" s="1"/>
  <c r="I351" i="2"/>
  <c r="J351" i="2"/>
  <c r="K351" i="2"/>
  <c r="L351" i="2"/>
  <c r="M351" i="2"/>
  <c r="N351" i="2"/>
  <c r="O351" i="2"/>
  <c r="Q351" i="2"/>
  <c r="R351" i="2"/>
  <c r="S351" i="2"/>
  <c r="T351" i="2"/>
  <c r="B352" i="2"/>
  <c r="C352" i="2"/>
  <c r="D352" i="2"/>
  <c r="E352" i="2"/>
  <c r="F352" i="2"/>
  <c r="G352" i="2"/>
  <c r="H352" i="2"/>
  <c r="U352" i="2" s="1"/>
  <c r="I352" i="2"/>
  <c r="J352" i="2"/>
  <c r="K352" i="2"/>
  <c r="L352" i="2"/>
  <c r="M352" i="2"/>
  <c r="N352" i="2"/>
  <c r="O352" i="2"/>
  <c r="Q352" i="2"/>
  <c r="R352" i="2"/>
  <c r="S352" i="2"/>
  <c r="T352" i="2"/>
  <c r="B353" i="2"/>
  <c r="C353" i="2"/>
  <c r="D353" i="2"/>
  <c r="E353" i="2"/>
  <c r="F353" i="2"/>
  <c r="G353" i="2"/>
  <c r="H353" i="2"/>
  <c r="U353" i="2" s="1"/>
  <c r="I353" i="2"/>
  <c r="J353" i="2"/>
  <c r="K353" i="2"/>
  <c r="L353" i="2"/>
  <c r="M353" i="2"/>
  <c r="N353" i="2"/>
  <c r="O353" i="2"/>
  <c r="Q353" i="2"/>
  <c r="R353" i="2"/>
  <c r="S353" i="2"/>
  <c r="T353" i="2"/>
  <c r="B354" i="2"/>
  <c r="C354" i="2"/>
  <c r="D354" i="2"/>
  <c r="E354" i="2"/>
  <c r="F354" i="2"/>
  <c r="G354" i="2"/>
  <c r="H354" i="2"/>
  <c r="U354" i="2" s="1"/>
  <c r="I354" i="2"/>
  <c r="J354" i="2"/>
  <c r="K354" i="2"/>
  <c r="L354" i="2"/>
  <c r="M354" i="2"/>
  <c r="N354" i="2"/>
  <c r="O354" i="2"/>
  <c r="Q354" i="2"/>
  <c r="R354" i="2"/>
  <c r="S354" i="2"/>
  <c r="T354" i="2"/>
  <c r="B355" i="2"/>
  <c r="C355" i="2"/>
  <c r="D355" i="2"/>
  <c r="E355" i="2"/>
  <c r="F355" i="2"/>
  <c r="G355" i="2"/>
  <c r="H355" i="2"/>
  <c r="U355" i="2" s="1"/>
  <c r="I355" i="2"/>
  <c r="J355" i="2"/>
  <c r="K355" i="2"/>
  <c r="L355" i="2"/>
  <c r="M355" i="2"/>
  <c r="N355" i="2"/>
  <c r="O355" i="2"/>
  <c r="Q355" i="2"/>
  <c r="R355" i="2"/>
  <c r="S355" i="2"/>
  <c r="T355" i="2"/>
  <c r="B356" i="2"/>
  <c r="C356" i="2"/>
  <c r="D356" i="2"/>
  <c r="E356" i="2"/>
  <c r="F356" i="2"/>
  <c r="G356" i="2"/>
  <c r="H356" i="2"/>
  <c r="U356" i="2" s="1"/>
  <c r="I356" i="2"/>
  <c r="J356" i="2"/>
  <c r="K356" i="2"/>
  <c r="L356" i="2"/>
  <c r="M356" i="2"/>
  <c r="N356" i="2"/>
  <c r="O356" i="2"/>
  <c r="Q356" i="2"/>
  <c r="R356" i="2"/>
  <c r="S356" i="2"/>
  <c r="T356" i="2"/>
  <c r="B357" i="2"/>
  <c r="C357" i="2"/>
  <c r="D357" i="2"/>
  <c r="E357" i="2"/>
  <c r="F357" i="2"/>
  <c r="G357" i="2"/>
  <c r="H357" i="2"/>
  <c r="U357" i="2" s="1"/>
  <c r="I357" i="2"/>
  <c r="J357" i="2"/>
  <c r="K357" i="2"/>
  <c r="L357" i="2"/>
  <c r="M357" i="2"/>
  <c r="N357" i="2"/>
  <c r="O357" i="2"/>
  <c r="Q357" i="2"/>
  <c r="R357" i="2"/>
  <c r="S357" i="2"/>
  <c r="T357" i="2"/>
  <c r="B358" i="2"/>
  <c r="C358" i="2"/>
  <c r="D358" i="2"/>
  <c r="E358" i="2"/>
  <c r="F358" i="2"/>
  <c r="G358" i="2"/>
  <c r="H358" i="2"/>
  <c r="U358" i="2" s="1"/>
  <c r="I358" i="2"/>
  <c r="J358" i="2"/>
  <c r="K358" i="2"/>
  <c r="L358" i="2"/>
  <c r="M358" i="2"/>
  <c r="N358" i="2"/>
  <c r="O358" i="2"/>
  <c r="Q358" i="2"/>
  <c r="R358" i="2"/>
  <c r="S358" i="2"/>
  <c r="T358" i="2"/>
  <c r="B359" i="2"/>
  <c r="C359" i="2"/>
  <c r="D359" i="2"/>
  <c r="E359" i="2"/>
  <c r="F359" i="2"/>
  <c r="G359" i="2"/>
  <c r="H359" i="2"/>
  <c r="U359" i="2" s="1"/>
  <c r="I359" i="2"/>
  <c r="J359" i="2"/>
  <c r="K359" i="2"/>
  <c r="L359" i="2"/>
  <c r="M359" i="2"/>
  <c r="N359" i="2"/>
  <c r="O359" i="2"/>
  <c r="Q359" i="2"/>
  <c r="R359" i="2"/>
  <c r="S359" i="2"/>
  <c r="T359" i="2"/>
  <c r="B360" i="2"/>
  <c r="C360" i="2"/>
  <c r="D360" i="2"/>
  <c r="E360" i="2"/>
  <c r="F360" i="2"/>
  <c r="G360" i="2"/>
  <c r="H360" i="2"/>
  <c r="U360" i="2" s="1"/>
  <c r="I360" i="2"/>
  <c r="J360" i="2"/>
  <c r="K360" i="2"/>
  <c r="L360" i="2"/>
  <c r="M360" i="2"/>
  <c r="N360" i="2"/>
  <c r="O360" i="2"/>
  <c r="Q360" i="2"/>
  <c r="R360" i="2"/>
  <c r="S360" i="2"/>
  <c r="T360" i="2"/>
  <c r="B361" i="2"/>
  <c r="C361" i="2"/>
  <c r="D361" i="2"/>
  <c r="E361" i="2"/>
  <c r="F361" i="2"/>
  <c r="G361" i="2"/>
  <c r="H361" i="2"/>
  <c r="U361" i="2" s="1"/>
  <c r="I361" i="2"/>
  <c r="J361" i="2"/>
  <c r="K361" i="2"/>
  <c r="L361" i="2"/>
  <c r="M361" i="2"/>
  <c r="N361" i="2"/>
  <c r="O361" i="2"/>
  <c r="Q361" i="2"/>
  <c r="R361" i="2"/>
  <c r="S361" i="2"/>
  <c r="T361" i="2"/>
  <c r="B362" i="2"/>
  <c r="C362" i="2"/>
  <c r="D362" i="2"/>
  <c r="E362" i="2"/>
  <c r="F362" i="2"/>
  <c r="G362" i="2"/>
  <c r="H362" i="2"/>
  <c r="U362" i="2" s="1"/>
  <c r="I362" i="2"/>
  <c r="J362" i="2"/>
  <c r="K362" i="2"/>
  <c r="L362" i="2"/>
  <c r="M362" i="2"/>
  <c r="N362" i="2"/>
  <c r="O362" i="2"/>
  <c r="Q362" i="2"/>
  <c r="R362" i="2"/>
  <c r="S362" i="2"/>
  <c r="T362" i="2"/>
  <c r="B363" i="2"/>
  <c r="C363" i="2"/>
  <c r="D363" i="2"/>
  <c r="E363" i="2"/>
  <c r="F363" i="2"/>
  <c r="G363" i="2"/>
  <c r="H363" i="2"/>
  <c r="U363" i="2" s="1"/>
  <c r="I363" i="2"/>
  <c r="J363" i="2"/>
  <c r="K363" i="2"/>
  <c r="L363" i="2"/>
  <c r="M363" i="2"/>
  <c r="N363" i="2"/>
  <c r="O363" i="2"/>
  <c r="Q363" i="2"/>
  <c r="R363" i="2"/>
  <c r="S363" i="2"/>
  <c r="T363" i="2"/>
  <c r="B364" i="2"/>
  <c r="C364" i="2"/>
  <c r="D364" i="2"/>
  <c r="E364" i="2"/>
  <c r="F364" i="2"/>
  <c r="G364" i="2"/>
  <c r="H364" i="2"/>
  <c r="U364" i="2" s="1"/>
  <c r="I364" i="2"/>
  <c r="J364" i="2"/>
  <c r="K364" i="2"/>
  <c r="L364" i="2"/>
  <c r="M364" i="2"/>
  <c r="N364" i="2"/>
  <c r="O364" i="2"/>
  <c r="Q364" i="2"/>
  <c r="R364" i="2"/>
  <c r="S364" i="2"/>
  <c r="T364" i="2"/>
  <c r="B365" i="2"/>
  <c r="C365" i="2"/>
  <c r="D365" i="2"/>
  <c r="E365" i="2"/>
  <c r="F365" i="2"/>
  <c r="G365" i="2"/>
  <c r="H365" i="2"/>
  <c r="U365" i="2" s="1"/>
  <c r="I365" i="2"/>
  <c r="J365" i="2"/>
  <c r="K365" i="2"/>
  <c r="L365" i="2"/>
  <c r="M365" i="2"/>
  <c r="N365" i="2"/>
  <c r="O365" i="2"/>
  <c r="Q365" i="2"/>
  <c r="R365" i="2"/>
  <c r="S365" i="2"/>
  <c r="T365" i="2"/>
  <c r="B366" i="2"/>
  <c r="C366" i="2"/>
  <c r="D366" i="2"/>
  <c r="E366" i="2"/>
  <c r="F366" i="2"/>
  <c r="G366" i="2"/>
  <c r="H366" i="2"/>
  <c r="U366" i="2" s="1"/>
  <c r="I366" i="2"/>
  <c r="J366" i="2"/>
  <c r="K366" i="2"/>
  <c r="L366" i="2"/>
  <c r="M366" i="2"/>
  <c r="N366" i="2"/>
  <c r="O366" i="2"/>
  <c r="Q366" i="2"/>
  <c r="R366" i="2"/>
  <c r="S366" i="2"/>
  <c r="T366" i="2"/>
  <c r="B367" i="2"/>
  <c r="C367" i="2"/>
  <c r="D367" i="2"/>
  <c r="E367" i="2"/>
  <c r="F367" i="2"/>
  <c r="G367" i="2"/>
  <c r="H367" i="2"/>
  <c r="U367" i="2" s="1"/>
  <c r="I367" i="2"/>
  <c r="J367" i="2"/>
  <c r="K367" i="2"/>
  <c r="L367" i="2"/>
  <c r="M367" i="2"/>
  <c r="N367" i="2"/>
  <c r="O367" i="2"/>
  <c r="Q367" i="2"/>
  <c r="R367" i="2"/>
  <c r="S367" i="2"/>
  <c r="T367" i="2"/>
  <c r="B368" i="2"/>
  <c r="C368" i="2"/>
  <c r="D368" i="2"/>
  <c r="E368" i="2"/>
  <c r="F368" i="2"/>
  <c r="G368" i="2"/>
  <c r="H368" i="2"/>
  <c r="U368" i="2" s="1"/>
  <c r="I368" i="2"/>
  <c r="J368" i="2"/>
  <c r="K368" i="2"/>
  <c r="L368" i="2"/>
  <c r="M368" i="2"/>
  <c r="N368" i="2"/>
  <c r="O368" i="2"/>
  <c r="Q368" i="2"/>
  <c r="R368" i="2"/>
  <c r="S368" i="2"/>
  <c r="T368" i="2"/>
  <c r="B369" i="2"/>
  <c r="C369" i="2"/>
  <c r="D369" i="2"/>
  <c r="E369" i="2"/>
  <c r="F369" i="2"/>
  <c r="G369" i="2"/>
  <c r="H369" i="2"/>
  <c r="U369" i="2" s="1"/>
  <c r="I369" i="2"/>
  <c r="J369" i="2"/>
  <c r="K369" i="2"/>
  <c r="L369" i="2"/>
  <c r="M369" i="2"/>
  <c r="N369" i="2"/>
  <c r="O369" i="2"/>
  <c r="Q369" i="2"/>
  <c r="R369" i="2"/>
  <c r="S369" i="2"/>
  <c r="T369" i="2"/>
  <c r="B370" i="2"/>
  <c r="C370" i="2"/>
  <c r="D370" i="2"/>
  <c r="E370" i="2"/>
  <c r="F370" i="2"/>
  <c r="G370" i="2"/>
  <c r="H370" i="2"/>
  <c r="U370" i="2" s="1"/>
  <c r="I370" i="2"/>
  <c r="J370" i="2"/>
  <c r="K370" i="2"/>
  <c r="L370" i="2"/>
  <c r="M370" i="2"/>
  <c r="N370" i="2"/>
  <c r="O370" i="2"/>
  <c r="Q370" i="2"/>
  <c r="R370" i="2"/>
  <c r="S370" i="2"/>
  <c r="T370" i="2"/>
  <c r="B371" i="2"/>
  <c r="C371" i="2"/>
  <c r="D371" i="2"/>
  <c r="E371" i="2"/>
  <c r="F371" i="2"/>
  <c r="G371" i="2"/>
  <c r="H371" i="2"/>
  <c r="U371" i="2" s="1"/>
  <c r="I371" i="2"/>
  <c r="J371" i="2"/>
  <c r="K371" i="2"/>
  <c r="L371" i="2"/>
  <c r="M371" i="2"/>
  <c r="N371" i="2"/>
  <c r="O371" i="2"/>
  <c r="Q371" i="2"/>
  <c r="R371" i="2"/>
  <c r="S371" i="2"/>
  <c r="T371" i="2"/>
  <c r="B372" i="2"/>
  <c r="C372" i="2"/>
  <c r="D372" i="2"/>
  <c r="E372" i="2"/>
  <c r="F372" i="2"/>
  <c r="G372" i="2"/>
  <c r="H372" i="2"/>
  <c r="U372" i="2" s="1"/>
  <c r="I372" i="2"/>
  <c r="J372" i="2"/>
  <c r="K372" i="2"/>
  <c r="L372" i="2"/>
  <c r="M372" i="2"/>
  <c r="N372" i="2"/>
  <c r="O372" i="2"/>
  <c r="Q372" i="2"/>
  <c r="R372" i="2"/>
  <c r="S372" i="2"/>
  <c r="T372" i="2"/>
  <c r="B373" i="2"/>
  <c r="C373" i="2"/>
  <c r="D373" i="2"/>
  <c r="E373" i="2"/>
  <c r="F373" i="2"/>
  <c r="G373" i="2"/>
  <c r="H373" i="2"/>
  <c r="U373" i="2" s="1"/>
  <c r="I373" i="2"/>
  <c r="J373" i="2"/>
  <c r="K373" i="2"/>
  <c r="L373" i="2"/>
  <c r="M373" i="2"/>
  <c r="N373" i="2"/>
  <c r="O373" i="2"/>
  <c r="Q373" i="2"/>
  <c r="R373" i="2"/>
  <c r="S373" i="2"/>
  <c r="T373" i="2"/>
  <c r="B374" i="2"/>
  <c r="C374" i="2"/>
  <c r="D374" i="2"/>
  <c r="E374" i="2"/>
  <c r="F374" i="2"/>
  <c r="G374" i="2"/>
  <c r="H374" i="2"/>
  <c r="U374" i="2" s="1"/>
  <c r="I374" i="2"/>
  <c r="J374" i="2"/>
  <c r="K374" i="2"/>
  <c r="L374" i="2"/>
  <c r="M374" i="2"/>
  <c r="N374" i="2"/>
  <c r="O374" i="2"/>
  <c r="Q374" i="2"/>
  <c r="R374" i="2"/>
  <c r="S374" i="2"/>
  <c r="T374" i="2"/>
  <c r="B375" i="2"/>
  <c r="C375" i="2"/>
  <c r="D375" i="2"/>
  <c r="E375" i="2"/>
  <c r="F375" i="2"/>
  <c r="G375" i="2"/>
  <c r="H375" i="2"/>
  <c r="U375" i="2" s="1"/>
  <c r="I375" i="2"/>
  <c r="J375" i="2"/>
  <c r="K375" i="2"/>
  <c r="L375" i="2"/>
  <c r="M375" i="2"/>
  <c r="N375" i="2"/>
  <c r="O375" i="2"/>
  <c r="Q375" i="2"/>
  <c r="R375" i="2"/>
  <c r="S375" i="2"/>
  <c r="T375" i="2"/>
  <c r="B376" i="2"/>
  <c r="C376" i="2"/>
  <c r="D376" i="2"/>
  <c r="E376" i="2"/>
  <c r="F376" i="2"/>
  <c r="G376" i="2"/>
  <c r="H376" i="2"/>
  <c r="U376" i="2" s="1"/>
  <c r="I376" i="2"/>
  <c r="J376" i="2"/>
  <c r="K376" i="2"/>
  <c r="L376" i="2"/>
  <c r="M376" i="2"/>
  <c r="N376" i="2"/>
  <c r="O376" i="2"/>
  <c r="Q376" i="2"/>
  <c r="R376" i="2"/>
  <c r="S376" i="2"/>
  <c r="T376" i="2"/>
  <c r="B377" i="2"/>
  <c r="C377" i="2"/>
  <c r="D377" i="2"/>
  <c r="E377" i="2"/>
  <c r="F377" i="2"/>
  <c r="G377" i="2"/>
  <c r="H377" i="2"/>
  <c r="U377" i="2" s="1"/>
  <c r="I377" i="2"/>
  <c r="J377" i="2"/>
  <c r="K377" i="2"/>
  <c r="L377" i="2"/>
  <c r="M377" i="2"/>
  <c r="N377" i="2"/>
  <c r="O377" i="2"/>
  <c r="Q377" i="2"/>
  <c r="R377" i="2"/>
  <c r="S377" i="2"/>
  <c r="T377" i="2"/>
  <c r="B378" i="2"/>
  <c r="C378" i="2"/>
  <c r="D378" i="2"/>
  <c r="E378" i="2"/>
  <c r="F378" i="2"/>
  <c r="G378" i="2"/>
  <c r="H378" i="2"/>
  <c r="U378" i="2" s="1"/>
  <c r="I378" i="2"/>
  <c r="J378" i="2"/>
  <c r="K378" i="2"/>
  <c r="L378" i="2"/>
  <c r="M378" i="2"/>
  <c r="N378" i="2"/>
  <c r="O378" i="2"/>
  <c r="Q378" i="2"/>
  <c r="R378" i="2"/>
  <c r="S378" i="2"/>
  <c r="T378" i="2"/>
  <c r="B379" i="2"/>
  <c r="C379" i="2"/>
  <c r="D379" i="2"/>
  <c r="E379" i="2"/>
  <c r="F379" i="2"/>
  <c r="G379" i="2"/>
  <c r="H379" i="2"/>
  <c r="U379" i="2" s="1"/>
  <c r="I379" i="2"/>
  <c r="J379" i="2"/>
  <c r="K379" i="2"/>
  <c r="L379" i="2"/>
  <c r="M379" i="2"/>
  <c r="N379" i="2"/>
  <c r="O379" i="2"/>
  <c r="Q379" i="2"/>
  <c r="R379" i="2"/>
  <c r="S379" i="2"/>
  <c r="T379" i="2"/>
  <c r="B380" i="2"/>
  <c r="C380" i="2"/>
  <c r="D380" i="2"/>
  <c r="E380" i="2"/>
  <c r="F380" i="2"/>
  <c r="G380" i="2"/>
  <c r="H380" i="2"/>
  <c r="U380" i="2" s="1"/>
  <c r="I380" i="2"/>
  <c r="J380" i="2"/>
  <c r="K380" i="2"/>
  <c r="L380" i="2"/>
  <c r="M380" i="2"/>
  <c r="N380" i="2"/>
  <c r="O380" i="2"/>
  <c r="Q380" i="2"/>
  <c r="R380" i="2"/>
  <c r="S380" i="2"/>
  <c r="T380" i="2"/>
  <c r="B381" i="2"/>
  <c r="C381" i="2"/>
  <c r="D381" i="2"/>
  <c r="E381" i="2"/>
  <c r="F381" i="2"/>
  <c r="G381" i="2"/>
  <c r="H381" i="2"/>
  <c r="U381" i="2" s="1"/>
  <c r="I381" i="2"/>
  <c r="J381" i="2"/>
  <c r="K381" i="2"/>
  <c r="L381" i="2"/>
  <c r="M381" i="2"/>
  <c r="N381" i="2"/>
  <c r="O381" i="2"/>
  <c r="Q381" i="2"/>
  <c r="R381" i="2"/>
  <c r="S381" i="2"/>
  <c r="T381" i="2"/>
  <c r="B382" i="2"/>
  <c r="C382" i="2"/>
  <c r="D382" i="2"/>
  <c r="E382" i="2"/>
  <c r="F382" i="2"/>
  <c r="G382" i="2"/>
  <c r="H382" i="2"/>
  <c r="U382" i="2" s="1"/>
  <c r="I382" i="2"/>
  <c r="J382" i="2"/>
  <c r="K382" i="2"/>
  <c r="L382" i="2"/>
  <c r="M382" i="2"/>
  <c r="N382" i="2"/>
  <c r="O382" i="2"/>
  <c r="Q382" i="2"/>
  <c r="R382" i="2"/>
  <c r="S382" i="2"/>
  <c r="T382" i="2"/>
  <c r="B383" i="2"/>
  <c r="C383" i="2"/>
  <c r="D383" i="2"/>
  <c r="E383" i="2"/>
  <c r="F383" i="2"/>
  <c r="G383" i="2"/>
  <c r="H383" i="2"/>
  <c r="U383" i="2" s="1"/>
  <c r="I383" i="2"/>
  <c r="J383" i="2"/>
  <c r="K383" i="2"/>
  <c r="L383" i="2"/>
  <c r="M383" i="2"/>
  <c r="N383" i="2"/>
  <c r="O383" i="2"/>
  <c r="Q383" i="2"/>
  <c r="R383" i="2"/>
  <c r="S383" i="2"/>
  <c r="T383" i="2"/>
  <c r="B384" i="2"/>
  <c r="C384" i="2"/>
  <c r="D384" i="2"/>
  <c r="E384" i="2"/>
  <c r="F384" i="2"/>
  <c r="G384" i="2"/>
  <c r="H384" i="2"/>
  <c r="U384" i="2" s="1"/>
  <c r="I384" i="2"/>
  <c r="J384" i="2"/>
  <c r="K384" i="2"/>
  <c r="L384" i="2"/>
  <c r="M384" i="2"/>
  <c r="N384" i="2"/>
  <c r="O384" i="2"/>
  <c r="Q384" i="2"/>
  <c r="R384" i="2"/>
  <c r="S384" i="2"/>
  <c r="T384" i="2"/>
  <c r="B385" i="2"/>
  <c r="C385" i="2"/>
  <c r="D385" i="2"/>
  <c r="E385" i="2"/>
  <c r="F385" i="2"/>
  <c r="G385" i="2"/>
  <c r="H385" i="2"/>
  <c r="U385" i="2" s="1"/>
  <c r="I385" i="2"/>
  <c r="J385" i="2"/>
  <c r="K385" i="2"/>
  <c r="L385" i="2"/>
  <c r="M385" i="2"/>
  <c r="N385" i="2"/>
  <c r="O385" i="2"/>
  <c r="Q385" i="2"/>
  <c r="R385" i="2"/>
  <c r="S385" i="2"/>
  <c r="T385" i="2"/>
  <c r="B386" i="2"/>
  <c r="C386" i="2"/>
  <c r="D386" i="2"/>
  <c r="E386" i="2"/>
  <c r="F386" i="2"/>
  <c r="G386" i="2"/>
  <c r="H386" i="2"/>
  <c r="U386" i="2" s="1"/>
  <c r="I386" i="2"/>
  <c r="J386" i="2"/>
  <c r="K386" i="2"/>
  <c r="L386" i="2"/>
  <c r="M386" i="2"/>
  <c r="N386" i="2"/>
  <c r="O386" i="2"/>
  <c r="Q386" i="2"/>
  <c r="R386" i="2"/>
  <c r="S386" i="2"/>
  <c r="T386" i="2"/>
  <c r="B387" i="2"/>
  <c r="C387" i="2"/>
  <c r="D387" i="2"/>
  <c r="E387" i="2"/>
  <c r="F387" i="2"/>
  <c r="G387" i="2"/>
  <c r="H387" i="2"/>
  <c r="U387" i="2" s="1"/>
  <c r="I387" i="2"/>
  <c r="J387" i="2"/>
  <c r="K387" i="2"/>
  <c r="L387" i="2"/>
  <c r="M387" i="2"/>
  <c r="N387" i="2"/>
  <c r="O387" i="2"/>
  <c r="Q387" i="2"/>
  <c r="R387" i="2"/>
  <c r="S387" i="2"/>
  <c r="T387" i="2"/>
  <c r="B388" i="2"/>
  <c r="C388" i="2"/>
  <c r="D388" i="2"/>
  <c r="E388" i="2"/>
  <c r="F388" i="2"/>
  <c r="G388" i="2"/>
  <c r="H388" i="2"/>
  <c r="U388" i="2" s="1"/>
  <c r="I388" i="2"/>
  <c r="J388" i="2"/>
  <c r="K388" i="2"/>
  <c r="L388" i="2"/>
  <c r="M388" i="2"/>
  <c r="N388" i="2"/>
  <c r="O388" i="2"/>
  <c r="Q388" i="2"/>
  <c r="R388" i="2"/>
  <c r="S388" i="2"/>
  <c r="T388" i="2"/>
  <c r="B389" i="2"/>
  <c r="C389" i="2"/>
  <c r="D389" i="2"/>
  <c r="E389" i="2"/>
  <c r="F389" i="2"/>
  <c r="G389" i="2"/>
  <c r="H389" i="2"/>
  <c r="U389" i="2" s="1"/>
  <c r="I389" i="2"/>
  <c r="J389" i="2"/>
  <c r="K389" i="2"/>
  <c r="L389" i="2"/>
  <c r="M389" i="2"/>
  <c r="N389" i="2"/>
  <c r="O389" i="2"/>
  <c r="Q389" i="2"/>
  <c r="R389" i="2"/>
  <c r="S389" i="2"/>
  <c r="T389" i="2"/>
  <c r="B390" i="2"/>
  <c r="C390" i="2"/>
  <c r="D390" i="2"/>
  <c r="E390" i="2"/>
  <c r="F390" i="2"/>
  <c r="G390" i="2"/>
  <c r="H390" i="2"/>
  <c r="U390" i="2" s="1"/>
  <c r="I390" i="2"/>
  <c r="J390" i="2"/>
  <c r="K390" i="2"/>
  <c r="L390" i="2"/>
  <c r="M390" i="2"/>
  <c r="N390" i="2"/>
  <c r="O390" i="2"/>
  <c r="Q390" i="2"/>
  <c r="R390" i="2"/>
  <c r="S390" i="2"/>
  <c r="T390" i="2"/>
  <c r="B391" i="2"/>
  <c r="C391" i="2"/>
  <c r="D391" i="2"/>
  <c r="E391" i="2"/>
  <c r="F391" i="2"/>
  <c r="G391" i="2"/>
  <c r="H391" i="2"/>
  <c r="U391" i="2" s="1"/>
  <c r="I391" i="2"/>
  <c r="J391" i="2"/>
  <c r="K391" i="2"/>
  <c r="L391" i="2"/>
  <c r="M391" i="2"/>
  <c r="N391" i="2"/>
  <c r="O391" i="2"/>
  <c r="Q391" i="2"/>
  <c r="R391" i="2"/>
  <c r="S391" i="2"/>
  <c r="T391" i="2"/>
  <c r="B392" i="2"/>
  <c r="C392" i="2"/>
  <c r="D392" i="2"/>
  <c r="E392" i="2"/>
  <c r="F392" i="2"/>
  <c r="G392" i="2"/>
  <c r="H392" i="2"/>
  <c r="U392" i="2" s="1"/>
  <c r="I392" i="2"/>
  <c r="J392" i="2"/>
  <c r="K392" i="2"/>
  <c r="L392" i="2"/>
  <c r="M392" i="2"/>
  <c r="N392" i="2"/>
  <c r="O392" i="2"/>
  <c r="Q392" i="2"/>
  <c r="R392" i="2"/>
  <c r="S392" i="2"/>
  <c r="T392" i="2"/>
  <c r="B393" i="2"/>
  <c r="C393" i="2"/>
  <c r="D393" i="2"/>
  <c r="E393" i="2"/>
  <c r="F393" i="2"/>
  <c r="G393" i="2"/>
  <c r="H393" i="2"/>
  <c r="U393" i="2" s="1"/>
  <c r="I393" i="2"/>
  <c r="J393" i="2"/>
  <c r="K393" i="2"/>
  <c r="L393" i="2"/>
  <c r="M393" i="2"/>
  <c r="N393" i="2"/>
  <c r="O393" i="2"/>
  <c r="Q393" i="2"/>
  <c r="R393" i="2"/>
  <c r="S393" i="2"/>
  <c r="T393" i="2"/>
  <c r="B394" i="2"/>
  <c r="C394" i="2"/>
  <c r="D394" i="2"/>
  <c r="E394" i="2"/>
  <c r="F394" i="2"/>
  <c r="G394" i="2"/>
  <c r="H394" i="2"/>
  <c r="U394" i="2" s="1"/>
  <c r="I394" i="2"/>
  <c r="J394" i="2"/>
  <c r="K394" i="2"/>
  <c r="L394" i="2"/>
  <c r="M394" i="2"/>
  <c r="N394" i="2"/>
  <c r="O394" i="2"/>
  <c r="Q394" i="2"/>
  <c r="R394" i="2"/>
  <c r="S394" i="2"/>
  <c r="T394" i="2"/>
  <c r="B395" i="2"/>
  <c r="C395" i="2"/>
  <c r="D395" i="2"/>
  <c r="E395" i="2"/>
  <c r="F395" i="2"/>
  <c r="G395" i="2"/>
  <c r="H395" i="2"/>
  <c r="U395" i="2" s="1"/>
  <c r="I395" i="2"/>
  <c r="J395" i="2"/>
  <c r="K395" i="2"/>
  <c r="L395" i="2"/>
  <c r="M395" i="2"/>
  <c r="N395" i="2"/>
  <c r="O395" i="2"/>
  <c r="Q395" i="2"/>
  <c r="R395" i="2"/>
  <c r="S395" i="2"/>
  <c r="T395" i="2"/>
  <c r="B396" i="2"/>
  <c r="C396" i="2"/>
  <c r="D396" i="2"/>
  <c r="E396" i="2"/>
  <c r="F396" i="2"/>
  <c r="G396" i="2"/>
  <c r="H396" i="2"/>
  <c r="U396" i="2" s="1"/>
  <c r="I396" i="2"/>
  <c r="J396" i="2"/>
  <c r="K396" i="2"/>
  <c r="L396" i="2"/>
  <c r="M396" i="2"/>
  <c r="N396" i="2"/>
  <c r="O396" i="2"/>
  <c r="Q396" i="2"/>
  <c r="R396" i="2"/>
  <c r="S396" i="2"/>
  <c r="T396" i="2"/>
  <c r="B397" i="2"/>
  <c r="C397" i="2"/>
  <c r="D397" i="2"/>
  <c r="E397" i="2"/>
  <c r="F397" i="2"/>
  <c r="G397" i="2"/>
  <c r="H397" i="2"/>
  <c r="U397" i="2" s="1"/>
  <c r="I397" i="2"/>
  <c r="J397" i="2"/>
  <c r="K397" i="2"/>
  <c r="L397" i="2"/>
  <c r="M397" i="2"/>
  <c r="N397" i="2"/>
  <c r="O397" i="2"/>
  <c r="Q397" i="2"/>
  <c r="R397" i="2"/>
  <c r="S397" i="2"/>
  <c r="T397" i="2"/>
  <c r="B398" i="2"/>
  <c r="C398" i="2"/>
  <c r="D398" i="2"/>
  <c r="E398" i="2"/>
  <c r="F398" i="2"/>
  <c r="G398" i="2"/>
  <c r="H398" i="2"/>
  <c r="U398" i="2" s="1"/>
  <c r="I398" i="2"/>
  <c r="J398" i="2"/>
  <c r="K398" i="2"/>
  <c r="L398" i="2"/>
  <c r="M398" i="2"/>
  <c r="N398" i="2"/>
  <c r="O398" i="2"/>
  <c r="Q398" i="2"/>
  <c r="R398" i="2"/>
  <c r="S398" i="2"/>
  <c r="T398" i="2"/>
  <c r="B399" i="2"/>
  <c r="C399" i="2"/>
  <c r="D399" i="2"/>
  <c r="E399" i="2"/>
  <c r="F399" i="2"/>
  <c r="G399" i="2"/>
  <c r="H399" i="2"/>
  <c r="U399" i="2" s="1"/>
  <c r="I399" i="2"/>
  <c r="J399" i="2"/>
  <c r="K399" i="2"/>
  <c r="L399" i="2"/>
  <c r="M399" i="2"/>
  <c r="N399" i="2"/>
  <c r="O399" i="2"/>
  <c r="Q399" i="2"/>
  <c r="R399" i="2"/>
  <c r="S399" i="2"/>
  <c r="T399" i="2"/>
  <c r="B400" i="2"/>
  <c r="C400" i="2"/>
  <c r="D400" i="2"/>
  <c r="E400" i="2"/>
  <c r="F400" i="2"/>
  <c r="G400" i="2"/>
  <c r="H400" i="2"/>
  <c r="U400" i="2" s="1"/>
  <c r="I400" i="2"/>
  <c r="J400" i="2"/>
  <c r="K400" i="2"/>
  <c r="L400" i="2"/>
  <c r="M400" i="2"/>
  <c r="N400" i="2"/>
  <c r="O400" i="2"/>
  <c r="Q400" i="2"/>
  <c r="R400" i="2"/>
  <c r="S400" i="2"/>
  <c r="T400" i="2"/>
  <c r="B401" i="2"/>
  <c r="C401" i="2"/>
  <c r="D401" i="2"/>
  <c r="E401" i="2"/>
  <c r="F401" i="2"/>
  <c r="G401" i="2"/>
  <c r="H401" i="2"/>
  <c r="U401" i="2" s="1"/>
  <c r="I401" i="2"/>
  <c r="J401" i="2"/>
  <c r="K401" i="2"/>
  <c r="L401" i="2"/>
  <c r="M401" i="2"/>
  <c r="N401" i="2"/>
  <c r="O401" i="2"/>
  <c r="Q401" i="2"/>
  <c r="R401" i="2"/>
  <c r="S401" i="2"/>
  <c r="T401" i="2"/>
  <c r="B402" i="2"/>
  <c r="C402" i="2"/>
  <c r="D402" i="2"/>
  <c r="E402" i="2"/>
  <c r="F402" i="2"/>
  <c r="G402" i="2"/>
  <c r="H402" i="2"/>
  <c r="U402" i="2" s="1"/>
  <c r="I402" i="2"/>
  <c r="J402" i="2"/>
  <c r="K402" i="2"/>
  <c r="L402" i="2"/>
  <c r="M402" i="2"/>
  <c r="N402" i="2"/>
  <c r="O402" i="2"/>
  <c r="Q402" i="2"/>
  <c r="R402" i="2"/>
  <c r="S402" i="2"/>
  <c r="T402" i="2"/>
  <c r="B403" i="2"/>
  <c r="C403" i="2"/>
  <c r="D403" i="2"/>
  <c r="E403" i="2"/>
  <c r="F403" i="2"/>
  <c r="G403" i="2"/>
  <c r="H403" i="2"/>
  <c r="U403" i="2" s="1"/>
  <c r="I403" i="2"/>
  <c r="J403" i="2"/>
  <c r="K403" i="2"/>
  <c r="L403" i="2"/>
  <c r="M403" i="2"/>
  <c r="N403" i="2"/>
  <c r="O403" i="2"/>
  <c r="Q403" i="2"/>
  <c r="R403" i="2"/>
  <c r="S403" i="2"/>
  <c r="T403" i="2"/>
  <c r="B404" i="2"/>
  <c r="C404" i="2"/>
  <c r="D404" i="2"/>
  <c r="E404" i="2"/>
  <c r="F404" i="2"/>
  <c r="G404" i="2"/>
  <c r="H404" i="2"/>
  <c r="U404" i="2" s="1"/>
  <c r="I404" i="2"/>
  <c r="J404" i="2"/>
  <c r="K404" i="2"/>
  <c r="L404" i="2"/>
  <c r="M404" i="2"/>
  <c r="N404" i="2"/>
  <c r="O404" i="2"/>
  <c r="Q404" i="2"/>
  <c r="R404" i="2"/>
  <c r="S404" i="2"/>
  <c r="T404" i="2"/>
  <c r="B405" i="2"/>
  <c r="C405" i="2"/>
  <c r="D405" i="2"/>
  <c r="E405" i="2"/>
  <c r="F405" i="2"/>
  <c r="G405" i="2"/>
  <c r="H405" i="2"/>
  <c r="U405" i="2" s="1"/>
  <c r="I405" i="2"/>
  <c r="J405" i="2"/>
  <c r="K405" i="2"/>
  <c r="L405" i="2"/>
  <c r="M405" i="2"/>
  <c r="N405" i="2"/>
  <c r="O405" i="2"/>
  <c r="Q405" i="2"/>
  <c r="R405" i="2"/>
  <c r="S405" i="2"/>
  <c r="T405" i="2"/>
  <c r="B406" i="2"/>
  <c r="C406" i="2"/>
  <c r="D406" i="2"/>
  <c r="E406" i="2"/>
  <c r="F406" i="2"/>
  <c r="G406" i="2"/>
  <c r="H406" i="2"/>
  <c r="U406" i="2" s="1"/>
  <c r="I406" i="2"/>
  <c r="J406" i="2"/>
  <c r="K406" i="2"/>
  <c r="L406" i="2"/>
  <c r="M406" i="2"/>
  <c r="N406" i="2"/>
  <c r="O406" i="2"/>
  <c r="Q406" i="2"/>
  <c r="R406" i="2"/>
  <c r="S406" i="2"/>
  <c r="T406" i="2"/>
  <c r="B407" i="2"/>
  <c r="C407" i="2"/>
  <c r="D407" i="2"/>
  <c r="E407" i="2"/>
  <c r="F407" i="2"/>
  <c r="G407" i="2"/>
  <c r="H407" i="2"/>
  <c r="U407" i="2" s="1"/>
  <c r="I407" i="2"/>
  <c r="J407" i="2"/>
  <c r="K407" i="2"/>
  <c r="L407" i="2"/>
  <c r="M407" i="2"/>
  <c r="N407" i="2"/>
  <c r="O407" i="2"/>
  <c r="Q407" i="2"/>
  <c r="R407" i="2"/>
  <c r="S407" i="2"/>
  <c r="T407" i="2"/>
  <c r="B408" i="2"/>
  <c r="C408" i="2"/>
  <c r="D408" i="2"/>
  <c r="E408" i="2"/>
  <c r="F408" i="2"/>
  <c r="G408" i="2"/>
  <c r="H408" i="2"/>
  <c r="U408" i="2" s="1"/>
  <c r="I408" i="2"/>
  <c r="J408" i="2"/>
  <c r="K408" i="2"/>
  <c r="L408" i="2"/>
  <c r="M408" i="2"/>
  <c r="N408" i="2"/>
  <c r="O408" i="2"/>
  <c r="Q408" i="2"/>
  <c r="R408" i="2"/>
  <c r="S408" i="2"/>
  <c r="T408" i="2"/>
  <c r="B409" i="2"/>
  <c r="C409" i="2"/>
  <c r="D409" i="2"/>
  <c r="E409" i="2"/>
  <c r="F409" i="2"/>
  <c r="G409" i="2"/>
  <c r="H409" i="2"/>
  <c r="U409" i="2" s="1"/>
  <c r="I409" i="2"/>
  <c r="J409" i="2"/>
  <c r="K409" i="2"/>
  <c r="L409" i="2"/>
  <c r="M409" i="2"/>
  <c r="N409" i="2"/>
  <c r="O409" i="2"/>
  <c r="Q409" i="2"/>
  <c r="R409" i="2"/>
  <c r="S409" i="2"/>
  <c r="T409" i="2"/>
  <c r="B410" i="2"/>
  <c r="C410" i="2"/>
  <c r="D410" i="2"/>
  <c r="E410" i="2"/>
  <c r="F410" i="2"/>
  <c r="G410" i="2"/>
  <c r="H410" i="2"/>
  <c r="U410" i="2" s="1"/>
  <c r="I410" i="2"/>
  <c r="J410" i="2"/>
  <c r="K410" i="2"/>
  <c r="L410" i="2"/>
  <c r="M410" i="2"/>
  <c r="N410" i="2"/>
  <c r="O410" i="2"/>
  <c r="Q410" i="2"/>
  <c r="R410" i="2"/>
  <c r="S410" i="2"/>
  <c r="T410" i="2"/>
  <c r="B411" i="2"/>
  <c r="C411" i="2"/>
  <c r="D411" i="2"/>
  <c r="E411" i="2"/>
  <c r="F411" i="2"/>
  <c r="G411" i="2"/>
  <c r="H411" i="2"/>
  <c r="U411" i="2" s="1"/>
  <c r="I411" i="2"/>
  <c r="J411" i="2"/>
  <c r="K411" i="2"/>
  <c r="L411" i="2"/>
  <c r="M411" i="2"/>
  <c r="N411" i="2"/>
  <c r="O411" i="2"/>
  <c r="Q411" i="2"/>
  <c r="R411" i="2"/>
  <c r="S411" i="2"/>
  <c r="T411" i="2"/>
  <c r="B412" i="2"/>
  <c r="C412" i="2"/>
  <c r="D412" i="2"/>
  <c r="E412" i="2"/>
  <c r="F412" i="2"/>
  <c r="G412" i="2"/>
  <c r="H412" i="2"/>
  <c r="U412" i="2" s="1"/>
  <c r="I412" i="2"/>
  <c r="J412" i="2"/>
  <c r="K412" i="2"/>
  <c r="L412" i="2"/>
  <c r="M412" i="2"/>
  <c r="N412" i="2"/>
  <c r="O412" i="2"/>
  <c r="Q412" i="2"/>
  <c r="R412" i="2"/>
  <c r="S412" i="2"/>
  <c r="T412" i="2"/>
  <c r="B413" i="2"/>
  <c r="C413" i="2"/>
  <c r="D413" i="2"/>
  <c r="E413" i="2"/>
  <c r="F413" i="2"/>
  <c r="G413" i="2"/>
  <c r="H413" i="2"/>
  <c r="U413" i="2" s="1"/>
  <c r="I413" i="2"/>
  <c r="J413" i="2"/>
  <c r="K413" i="2"/>
  <c r="L413" i="2"/>
  <c r="M413" i="2"/>
  <c r="N413" i="2"/>
  <c r="O413" i="2"/>
  <c r="Q413" i="2"/>
  <c r="R413" i="2"/>
  <c r="S413" i="2"/>
  <c r="T413" i="2"/>
  <c r="B414" i="2"/>
  <c r="C414" i="2"/>
  <c r="D414" i="2"/>
  <c r="E414" i="2"/>
  <c r="F414" i="2"/>
  <c r="G414" i="2"/>
  <c r="H414" i="2"/>
  <c r="U414" i="2" s="1"/>
  <c r="I414" i="2"/>
  <c r="J414" i="2"/>
  <c r="K414" i="2"/>
  <c r="L414" i="2"/>
  <c r="M414" i="2"/>
  <c r="N414" i="2"/>
  <c r="O414" i="2"/>
  <c r="Q414" i="2"/>
  <c r="R414" i="2"/>
  <c r="S414" i="2"/>
  <c r="T414" i="2"/>
  <c r="B415" i="2"/>
  <c r="C415" i="2"/>
  <c r="D415" i="2"/>
  <c r="E415" i="2"/>
  <c r="F415" i="2"/>
  <c r="G415" i="2"/>
  <c r="H415" i="2"/>
  <c r="U415" i="2" s="1"/>
  <c r="I415" i="2"/>
  <c r="J415" i="2"/>
  <c r="K415" i="2"/>
  <c r="L415" i="2"/>
  <c r="M415" i="2"/>
  <c r="N415" i="2"/>
  <c r="O415" i="2"/>
  <c r="Q415" i="2"/>
  <c r="R415" i="2"/>
  <c r="S415" i="2"/>
  <c r="T415" i="2"/>
  <c r="B416" i="2"/>
  <c r="C416" i="2"/>
  <c r="D416" i="2"/>
  <c r="E416" i="2"/>
  <c r="F416" i="2"/>
  <c r="G416" i="2"/>
  <c r="H416" i="2"/>
  <c r="U416" i="2" s="1"/>
  <c r="I416" i="2"/>
  <c r="J416" i="2"/>
  <c r="K416" i="2"/>
  <c r="L416" i="2"/>
  <c r="M416" i="2"/>
  <c r="N416" i="2"/>
  <c r="O416" i="2"/>
  <c r="Q416" i="2"/>
  <c r="R416" i="2"/>
  <c r="S416" i="2"/>
  <c r="T416" i="2"/>
  <c r="B417" i="2"/>
  <c r="C417" i="2"/>
  <c r="D417" i="2"/>
  <c r="E417" i="2"/>
  <c r="F417" i="2"/>
  <c r="G417" i="2"/>
  <c r="H417" i="2"/>
  <c r="U417" i="2" s="1"/>
  <c r="I417" i="2"/>
  <c r="J417" i="2"/>
  <c r="K417" i="2"/>
  <c r="L417" i="2"/>
  <c r="M417" i="2"/>
  <c r="N417" i="2"/>
  <c r="O417" i="2"/>
  <c r="Q417" i="2"/>
  <c r="R417" i="2"/>
  <c r="S417" i="2"/>
  <c r="T417" i="2"/>
  <c r="B418" i="2"/>
  <c r="C418" i="2"/>
  <c r="D418" i="2"/>
  <c r="E418" i="2"/>
  <c r="F418" i="2"/>
  <c r="G418" i="2"/>
  <c r="H418" i="2"/>
  <c r="U418" i="2" s="1"/>
  <c r="I418" i="2"/>
  <c r="J418" i="2"/>
  <c r="K418" i="2"/>
  <c r="L418" i="2"/>
  <c r="M418" i="2"/>
  <c r="N418" i="2"/>
  <c r="O418" i="2"/>
  <c r="Q418" i="2"/>
  <c r="R418" i="2"/>
  <c r="S418" i="2"/>
  <c r="T418" i="2"/>
  <c r="B419" i="2"/>
  <c r="C419" i="2"/>
  <c r="D419" i="2"/>
  <c r="E419" i="2"/>
  <c r="F419" i="2"/>
  <c r="G419" i="2"/>
  <c r="H419" i="2"/>
  <c r="U419" i="2" s="1"/>
  <c r="I419" i="2"/>
  <c r="J419" i="2"/>
  <c r="K419" i="2"/>
  <c r="L419" i="2"/>
  <c r="M419" i="2"/>
  <c r="N419" i="2"/>
  <c r="O419" i="2"/>
  <c r="Q419" i="2"/>
  <c r="R419" i="2"/>
  <c r="S419" i="2"/>
  <c r="T419" i="2"/>
  <c r="B420" i="2"/>
  <c r="C420" i="2"/>
  <c r="D420" i="2"/>
  <c r="E420" i="2"/>
  <c r="F420" i="2"/>
  <c r="G420" i="2"/>
  <c r="H420" i="2"/>
  <c r="U420" i="2" s="1"/>
  <c r="I420" i="2"/>
  <c r="J420" i="2"/>
  <c r="K420" i="2"/>
  <c r="L420" i="2"/>
  <c r="M420" i="2"/>
  <c r="N420" i="2"/>
  <c r="O420" i="2"/>
  <c r="Q420" i="2"/>
  <c r="R420" i="2"/>
  <c r="S420" i="2"/>
  <c r="T420" i="2"/>
  <c r="B421" i="2"/>
  <c r="C421" i="2"/>
  <c r="D421" i="2"/>
  <c r="E421" i="2"/>
  <c r="F421" i="2"/>
  <c r="G421" i="2"/>
  <c r="H421" i="2"/>
  <c r="U421" i="2" s="1"/>
  <c r="I421" i="2"/>
  <c r="J421" i="2"/>
  <c r="K421" i="2"/>
  <c r="L421" i="2"/>
  <c r="M421" i="2"/>
  <c r="N421" i="2"/>
  <c r="O421" i="2"/>
  <c r="Q421" i="2"/>
  <c r="R421" i="2"/>
  <c r="S421" i="2"/>
  <c r="T421" i="2"/>
  <c r="B422" i="2"/>
  <c r="C422" i="2"/>
  <c r="D422" i="2"/>
  <c r="E422" i="2"/>
  <c r="F422" i="2"/>
  <c r="G422" i="2"/>
  <c r="H422" i="2"/>
  <c r="U422" i="2" s="1"/>
  <c r="I422" i="2"/>
  <c r="J422" i="2"/>
  <c r="K422" i="2"/>
  <c r="L422" i="2"/>
  <c r="M422" i="2"/>
  <c r="N422" i="2"/>
  <c r="O422" i="2"/>
  <c r="Q422" i="2"/>
  <c r="R422" i="2"/>
  <c r="S422" i="2"/>
  <c r="T422" i="2"/>
  <c r="B423" i="2"/>
  <c r="C423" i="2"/>
  <c r="D423" i="2"/>
  <c r="E423" i="2"/>
  <c r="F423" i="2"/>
  <c r="G423" i="2"/>
  <c r="H423" i="2"/>
  <c r="U423" i="2" s="1"/>
  <c r="I423" i="2"/>
  <c r="J423" i="2"/>
  <c r="K423" i="2"/>
  <c r="L423" i="2"/>
  <c r="M423" i="2"/>
  <c r="N423" i="2"/>
  <c r="O423" i="2"/>
  <c r="Q423" i="2"/>
  <c r="R423" i="2"/>
  <c r="S423" i="2"/>
  <c r="T423" i="2"/>
  <c r="B424" i="2"/>
  <c r="C424" i="2"/>
  <c r="D424" i="2"/>
  <c r="E424" i="2"/>
  <c r="F424" i="2"/>
  <c r="G424" i="2"/>
  <c r="H424" i="2"/>
  <c r="U424" i="2" s="1"/>
  <c r="I424" i="2"/>
  <c r="J424" i="2"/>
  <c r="K424" i="2"/>
  <c r="L424" i="2"/>
  <c r="M424" i="2"/>
  <c r="N424" i="2"/>
  <c r="O424" i="2"/>
  <c r="Q424" i="2"/>
  <c r="R424" i="2"/>
  <c r="S424" i="2"/>
  <c r="T424" i="2"/>
  <c r="B425" i="2"/>
  <c r="C425" i="2"/>
  <c r="D425" i="2"/>
  <c r="E425" i="2"/>
  <c r="F425" i="2"/>
  <c r="G425" i="2"/>
  <c r="H425" i="2"/>
  <c r="U425" i="2" s="1"/>
  <c r="I425" i="2"/>
  <c r="J425" i="2"/>
  <c r="K425" i="2"/>
  <c r="L425" i="2"/>
  <c r="M425" i="2"/>
  <c r="N425" i="2"/>
  <c r="O425" i="2"/>
  <c r="Q425" i="2"/>
  <c r="R425" i="2"/>
  <c r="S425" i="2"/>
  <c r="T425" i="2"/>
  <c r="B426" i="2"/>
  <c r="C426" i="2"/>
  <c r="D426" i="2"/>
  <c r="E426" i="2"/>
  <c r="F426" i="2"/>
  <c r="G426" i="2"/>
  <c r="H426" i="2"/>
  <c r="U426" i="2" s="1"/>
  <c r="I426" i="2"/>
  <c r="J426" i="2"/>
  <c r="K426" i="2"/>
  <c r="L426" i="2"/>
  <c r="M426" i="2"/>
  <c r="N426" i="2"/>
  <c r="O426" i="2"/>
  <c r="Q426" i="2"/>
  <c r="R426" i="2"/>
  <c r="S426" i="2"/>
  <c r="T426" i="2"/>
  <c r="B427" i="2"/>
  <c r="C427" i="2"/>
  <c r="D427" i="2"/>
  <c r="E427" i="2"/>
  <c r="F427" i="2"/>
  <c r="G427" i="2"/>
  <c r="H427" i="2"/>
  <c r="U427" i="2" s="1"/>
  <c r="I427" i="2"/>
  <c r="J427" i="2"/>
  <c r="K427" i="2"/>
  <c r="L427" i="2"/>
  <c r="M427" i="2"/>
  <c r="N427" i="2"/>
  <c r="O427" i="2"/>
  <c r="Q427" i="2"/>
  <c r="R427" i="2"/>
  <c r="S427" i="2"/>
  <c r="T427" i="2"/>
  <c r="B428" i="2"/>
  <c r="C428" i="2"/>
  <c r="D428" i="2"/>
  <c r="E428" i="2"/>
  <c r="F428" i="2"/>
  <c r="G428" i="2"/>
  <c r="H428" i="2"/>
  <c r="U428" i="2" s="1"/>
  <c r="I428" i="2"/>
  <c r="J428" i="2"/>
  <c r="K428" i="2"/>
  <c r="L428" i="2"/>
  <c r="M428" i="2"/>
  <c r="N428" i="2"/>
  <c r="O428" i="2"/>
  <c r="Q428" i="2"/>
  <c r="R428" i="2"/>
  <c r="S428" i="2"/>
  <c r="T428" i="2"/>
  <c r="B429" i="2"/>
  <c r="C429" i="2"/>
  <c r="D429" i="2"/>
  <c r="E429" i="2"/>
  <c r="F429" i="2"/>
  <c r="G429" i="2"/>
  <c r="H429" i="2"/>
  <c r="U429" i="2" s="1"/>
  <c r="I429" i="2"/>
  <c r="J429" i="2"/>
  <c r="K429" i="2"/>
  <c r="L429" i="2"/>
  <c r="M429" i="2"/>
  <c r="N429" i="2"/>
  <c r="O429" i="2"/>
  <c r="Q429" i="2"/>
  <c r="R429" i="2"/>
  <c r="S429" i="2"/>
  <c r="T429" i="2"/>
  <c r="B430" i="2"/>
  <c r="C430" i="2"/>
  <c r="D430" i="2"/>
  <c r="E430" i="2"/>
  <c r="F430" i="2"/>
  <c r="G430" i="2"/>
  <c r="H430" i="2"/>
  <c r="U430" i="2" s="1"/>
  <c r="I430" i="2"/>
  <c r="J430" i="2"/>
  <c r="K430" i="2"/>
  <c r="L430" i="2"/>
  <c r="M430" i="2"/>
  <c r="N430" i="2"/>
  <c r="O430" i="2"/>
  <c r="Q430" i="2"/>
  <c r="R430" i="2"/>
  <c r="S430" i="2"/>
  <c r="T430" i="2"/>
  <c r="B431" i="2"/>
  <c r="C431" i="2"/>
  <c r="D431" i="2"/>
  <c r="E431" i="2"/>
  <c r="F431" i="2"/>
  <c r="G431" i="2"/>
  <c r="H431" i="2"/>
  <c r="U431" i="2" s="1"/>
  <c r="I431" i="2"/>
  <c r="J431" i="2"/>
  <c r="K431" i="2"/>
  <c r="L431" i="2"/>
  <c r="M431" i="2"/>
  <c r="N431" i="2"/>
  <c r="O431" i="2"/>
  <c r="Q431" i="2"/>
  <c r="R431" i="2"/>
  <c r="S431" i="2"/>
  <c r="T431" i="2"/>
  <c r="B432" i="2"/>
  <c r="C432" i="2"/>
  <c r="D432" i="2"/>
  <c r="E432" i="2"/>
  <c r="F432" i="2"/>
  <c r="G432" i="2"/>
  <c r="H432" i="2"/>
  <c r="U432" i="2" s="1"/>
  <c r="I432" i="2"/>
  <c r="J432" i="2"/>
  <c r="K432" i="2"/>
  <c r="L432" i="2"/>
  <c r="M432" i="2"/>
  <c r="N432" i="2"/>
  <c r="O432" i="2"/>
  <c r="Q432" i="2"/>
  <c r="R432" i="2"/>
  <c r="S432" i="2"/>
  <c r="T432" i="2"/>
  <c r="B433" i="2"/>
  <c r="C433" i="2"/>
  <c r="D433" i="2"/>
  <c r="E433" i="2"/>
  <c r="F433" i="2"/>
  <c r="G433" i="2"/>
  <c r="H433" i="2"/>
  <c r="U433" i="2" s="1"/>
  <c r="I433" i="2"/>
  <c r="J433" i="2"/>
  <c r="K433" i="2"/>
  <c r="L433" i="2"/>
  <c r="M433" i="2"/>
  <c r="N433" i="2"/>
  <c r="O433" i="2"/>
  <c r="Q433" i="2"/>
  <c r="R433" i="2"/>
  <c r="S433" i="2"/>
  <c r="T433" i="2"/>
  <c r="B434" i="2"/>
  <c r="C434" i="2"/>
  <c r="D434" i="2"/>
  <c r="E434" i="2"/>
  <c r="F434" i="2"/>
  <c r="G434" i="2"/>
  <c r="H434" i="2"/>
  <c r="U434" i="2" s="1"/>
  <c r="I434" i="2"/>
  <c r="J434" i="2"/>
  <c r="K434" i="2"/>
  <c r="L434" i="2"/>
  <c r="M434" i="2"/>
  <c r="N434" i="2"/>
  <c r="O434" i="2"/>
  <c r="Q434" i="2"/>
  <c r="R434" i="2"/>
  <c r="S434" i="2"/>
  <c r="T434" i="2"/>
  <c r="B435" i="2"/>
  <c r="C435" i="2"/>
  <c r="D435" i="2"/>
  <c r="E435" i="2"/>
  <c r="F435" i="2"/>
  <c r="G435" i="2"/>
  <c r="H435" i="2"/>
  <c r="U435" i="2" s="1"/>
  <c r="I435" i="2"/>
  <c r="J435" i="2"/>
  <c r="K435" i="2"/>
  <c r="L435" i="2"/>
  <c r="M435" i="2"/>
  <c r="N435" i="2"/>
  <c r="O435" i="2"/>
  <c r="Q435" i="2"/>
  <c r="R435" i="2"/>
  <c r="S435" i="2"/>
  <c r="T435" i="2"/>
  <c r="B436" i="2"/>
  <c r="C436" i="2"/>
  <c r="D436" i="2"/>
  <c r="E436" i="2"/>
  <c r="F436" i="2"/>
  <c r="G436" i="2"/>
  <c r="H436" i="2"/>
  <c r="U436" i="2" s="1"/>
  <c r="I436" i="2"/>
  <c r="J436" i="2"/>
  <c r="K436" i="2"/>
  <c r="L436" i="2"/>
  <c r="M436" i="2"/>
  <c r="N436" i="2"/>
  <c r="O436" i="2"/>
  <c r="Q436" i="2"/>
  <c r="R436" i="2"/>
  <c r="S436" i="2"/>
  <c r="T436" i="2"/>
  <c r="B437" i="2"/>
  <c r="C437" i="2"/>
  <c r="D437" i="2"/>
  <c r="E437" i="2"/>
  <c r="F437" i="2"/>
  <c r="G437" i="2"/>
  <c r="H437" i="2"/>
  <c r="U437" i="2" s="1"/>
  <c r="I437" i="2"/>
  <c r="J437" i="2"/>
  <c r="K437" i="2"/>
  <c r="L437" i="2"/>
  <c r="M437" i="2"/>
  <c r="N437" i="2"/>
  <c r="O437" i="2"/>
  <c r="Q437" i="2"/>
  <c r="R437" i="2"/>
  <c r="S437" i="2"/>
  <c r="T437" i="2"/>
  <c r="B438" i="2"/>
  <c r="C438" i="2"/>
  <c r="D438" i="2"/>
  <c r="E438" i="2"/>
  <c r="F438" i="2"/>
  <c r="G438" i="2"/>
  <c r="H438" i="2"/>
  <c r="U438" i="2" s="1"/>
  <c r="I438" i="2"/>
  <c r="J438" i="2"/>
  <c r="K438" i="2"/>
  <c r="L438" i="2"/>
  <c r="M438" i="2"/>
  <c r="N438" i="2"/>
  <c r="O438" i="2"/>
  <c r="Q438" i="2"/>
  <c r="R438" i="2"/>
  <c r="S438" i="2"/>
  <c r="T438" i="2"/>
  <c r="B439" i="2"/>
  <c r="C439" i="2"/>
  <c r="D439" i="2"/>
  <c r="E439" i="2"/>
  <c r="F439" i="2"/>
  <c r="G439" i="2"/>
  <c r="H439" i="2"/>
  <c r="U439" i="2" s="1"/>
  <c r="I439" i="2"/>
  <c r="J439" i="2"/>
  <c r="K439" i="2"/>
  <c r="L439" i="2"/>
  <c r="M439" i="2"/>
  <c r="N439" i="2"/>
  <c r="O439" i="2"/>
  <c r="Q439" i="2"/>
  <c r="R439" i="2"/>
  <c r="S439" i="2"/>
  <c r="T439" i="2"/>
  <c r="B440" i="2"/>
  <c r="C440" i="2"/>
  <c r="D440" i="2"/>
  <c r="E440" i="2"/>
  <c r="F440" i="2"/>
  <c r="G440" i="2"/>
  <c r="H440" i="2"/>
  <c r="U440" i="2" s="1"/>
  <c r="I440" i="2"/>
  <c r="J440" i="2"/>
  <c r="K440" i="2"/>
  <c r="L440" i="2"/>
  <c r="M440" i="2"/>
  <c r="N440" i="2"/>
  <c r="O440" i="2"/>
  <c r="Q440" i="2"/>
  <c r="R440" i="2"/>
  <c r="S440" i="2"/>
  <c r="T440" i="2"/>
  <c r="B441" i="2"/>
  <c r="C441" i="2"/>
  <c r="D441" i="2"/>
  <c r="E441" i="2"/>
  <c r="F441" i="2"/>
  <c r="G441" i="2"/>
  <c r="H441" i="2"/>
  <c r="U441" i="2" s="1"/>
  <c r="I441" i="2"/>
  <c r="J441" i="2"/>
  <c r="K441" i="2"/>
  <c r="L441" i="2"/>
  <c r="M441" i="2"/>
  <c r="N441" i="2"/>
  <c r="O441" i="2"/>
  <c r="Q441" i="2"/>
  <c r="R441" i="2"/>
  <c r="S441" i="2"/>
  <c r="T441" i="2"/>
  <c r="B442" i="2"/>
  <c r="C442" i="2"/>
  <c r="D442" i="2"/>
  <c r="E442" i="2"/>
  <c r="F442" i="2"/>
  <c r="G442" i="2"/>
  <c r="H442" i="2"/>
  <c r="U442" i="2" s="1"/>
  <c r="I442" i="2"/>
  <c r="J442" i="2"/>
  <c r="K442" i="2"/>
  <c r="L442" i="2"/>
  <c r="M442" i="2"/>
  <c r="N442" i="2"/>
  <c r="O442" i="2"/>
  <c r="Q442" i="2"/>
  <c r="R442" i="2"/>
  <c r="S442" i="2"/>
  <c r="T442" i="2"/>
  <c r="B443" i="2"/>
  <c r="C443" i="2"/>
  <c r="D443" i="2"/>
  <c r="E443" i="2"/>
  <c r="F443" i="2"/>
  <c r="G443" i="2"/>
  <c r="H443" i="2"/>
  <c r="U443" i="2" s="1"/>
  <c r="I443" i="2"/>
  <c r="J443" i="2"/>
  <c r="K443" i="2"/>
  <c r="L443" i="2"/>
  <c r="M443" i="2"/>
  <c r="N443" i="2"/>
  <c r="O443" i="2"/>
  <c r="Q443" i="2"/>
  <c r="R443" i="2"/>
  <c r="S443" i="2"/>
  <c r="T443" i="2"/>
  <c r="B444" i="2"/>
  <c r="C444" i="2"/>
  <c r="D444" i="2"/>
  <c r="E444" i="2"/>
  <c r="F444" i="2"/>
  <c r="G444" i="2"/>
  <c r="H444" i="2"/>
  <c r="U444" i="2" s="1"/>
  <c r="I444" i="2"/>
  <c r="J444" i="2"/>
  <c r="K444" i="2"/>
  <c r="L444" i="2"/>
  <c r="M444" i="2"/>
  <c r="N444" i="2"/>
  <c r="O444" i="2"/>
  <c r="Q444" i="2"/>
  <c r="R444" i="2"/>
  <c r="S444" i="2"/>
  <c r="T444" i="2"/>
  <c r="B445" i="2"/>
  <c r="C445" i="2"/>
  <c r="D445" i="2"/>
  <c r="E445" i="2"/>
  <c r="F445" i="2"/>
  <c r="G445" i="2"/>
  <c r="H445" i="2"/>
  <c r="U445" i="2" s="1"/>
  <c r="I445" i="2"/>
  <c r="J445" i="2"/>
  <c r="K445" i="2"/>
  <c r="L445" i="2"/>
  <c r="M445" i="2"/>
  <c r="N445" i="2"/>
  <c r="O445" i="2"/>
  <c r="Q445" i="2"/>
  <c r="R445" i="2"/>
  <c r="S445" i="2"/>
  <c r="T445" i="2"/>
  <c r="B446" i="2"/>
  <c r="C446" i="2"/>
  <c r="D446" i="2"/>
  <c r="E446" i="2"/>
  <c r="F446" i="2"/>
  <c r="G446" i="2"/>
  <c r="H446" i="2"/>
  <c r="U446" i="2" s="1"/>
  <c r="I446" i="2"/>
  <c r="J446" i="2"/>
  <c r="K446" i="2"/>
  <c r="L446" i="2"/>
  <c r="M446" i="2"/>
  <c r="N446" i="2"/>
  <c r="O446" i="2"/>
  <c r="Q446" i="2"/>
  <c r="R446" i="2"/>
  <c r="S446" i="2"/>
  <c r="T446" i="2"/>
  <c r="B447" i="2"/>
  <c r="C447" i="2"/>
  <c r="D447" i="2"/>
  <c r="E447" i="2"/>
  <c r="F447" i="2"/>
  <c r="G447" i="2"/>
  <c r="H447" i="2"/>
  <c r="U447" i="2" s="1"/>
  <c r="I447" i="2"/>
  <c r="J447" i="2"/>
  <c r="K447" i="2"/>
  <c r="L447" i="2"/>
  <c r="M447" i="2"/>
  <c r="N447" i="2"/>
  <c r="O447" i="2"/>
  <c r="Q447" i="2"/>
  <c r="R447" i="2"/>
  <c r="S447" i="2"/>
  <c r="T447" i="2"/>
  <c r="B448" i="2"/>
  <c r="C448" i="2"/>
  <c r="D448" i="2"/>
  <c r="E448" i="2"/>
  <c r="F448" i="2"/>
  <c r="G448" i="2"/>
  <c r="H448" i="2"/>
  <c r="U448" i="2" s="1"/>
  <c r="I448" i="2"/>
  <c r="J448" i="2"/>
  <c r="K448" i="2"/>
  <c r="L448" i="2"/>
  <c r="M448" i="2"/>
  <c r="N448" i="2"/>
  <c r="O448" i="2"/>
  <c r="Q448" i="2"/>
  <c r="R448" i="2"/>
  <c r="S448" i="2"/>
  <c r="T448" i="2"/>
  <c r="B449" i="2"/>
  <c r="C449" i="2"/>
  <c r="D449" i="2"/>
  <c r="E449" i="2"/>
  <c r="F449" i="2"/>
  <c r="G449" i="2"/>
  <c r="H449" i="2"/>
  <c r="U449" i="2" s="1"/>
  <c r="I449" i="2"/>
  <c r="J449" i="2"/>
  <c r="K449" i="2"/>
  <c r="L449" i="2"/>
  <c r="M449" i="2"/>
  <c r="N449" i="2"/>
  <c r="O449" i="2"/>
  <c r="Q449" i="2"/>
  <c r="R449" i="2"/>
  <c r="S449" i="2"/>
  <c r="T449" i="2"/>
  <c r="B450" i="2"/>
  <c r="C450" i="2"/>
  <c r="D450" i="2"/>
  <c r="E450" i="2"/>
  <c r="F450" i="2"/>
  <c r="G450" i="2"/>
  <c r="H450" i="2"/>
  <c r="U450" i="2" s="1"/>
  <c r="I450" i="2"/>
  <c r="J450" i="2"/>
  <c r="K450" i="2"/>
  <c r="L450" i="2"/>
  <c r="M450" i="2"/>
  <c r="N450" i="2"/>
  <c r="O450" i="2"/>
  <c r="Q450" i="2"/>
  <c r="R450" i="2"/>
  <c r="S450" i="2"/>
  <c r="T450" i="2"/>
  <c r="B451" i="2"/>
  <c r="C451" i="2"/>
  <c r="D451" i="2"/>
  <c r="E451" i="2"/>
  <c r="F451" i="2"/>
  <c r="G451" i="2"/>
  <c r="H451" i="2"/>
  <c r="U451" i="2" s="1"/>
  <c r="I451" i="2"/>
  <c r="J451" i="2"/>
  <c r="K451" i="2"/>
  <c r="L451" i="2"/>
  <c r="M451" i="2"/>
  <c r="N451" i="2"/>
  <c r="O451" i="2"/>
  <c r="Q451" i="2"/>
  <c r="R451" i="2"/>
  <c r="S451" i="2"/>
  <c r="T451" i="2"/>
  <c r="B452" i="2"/>
  <c r="C452" i="2"/>
  <c r="D452" i="2"/>
  <c r="E452" i="2"/>
  <c r="F452" i="2"/>
  <c r="G452" i="2"/>
  <c r="H452" i="2"/>
  <c r="U452" i="2" s="1"/>
  <c r="I452" i="2"/>
  <c r="J452" i="2"/>
  <c r="K452" i="2"/>
  <c r="L452" i="2"/>
  <c r="M452" i="2"/>
  <c r="N452" i="2"/>
  <c r="O452" i="2"/>
  <c r="Q452" i="2"/>
  <c r="R452" i="2"/>
  <c r="S452" i="2"/>
  <c r="T452" i="2"/>
  <c r="B453" i="2"/>
  <c r="C453" i="2"/>
  <c r="D453" i="2"/>
  <c r="E453" i="2"/>
  <c r="F453" i="2"/>
  <c r="G453" i="2"/>
  <c r="H453" i="2"/>
  <c r="U453" i="2" s="1"/>
  <c r="I453" i="2"/>
  <c r="J453" i="2"/>
  <c r="K453" i="2"/>
  <c r="L453" i="2"/>
  <c r="M453" i="2"/>
  <c r="N453" i="2"/>
  <c r="O453" i="2"/>
  <c r="Q453" i="2"/>
  <c r="R453" i="2"/>
  <c r="S453" i="2"/>
  <c r="T453" i="2"/>
  <c r="B454" i="2"/>
  <c r="C454" i="2"/>
  <c r="D454" i="2"/>
  <c r="E454" i="2"/>
  <c r="F454" i="2"/>
  <c r="G454" i="2"/>
  <c r="H454" i="2"/>
  <c r="U454" i="2" s="1"/>
  <c r="I454" i="2"/>
  <c r="J454" i="2"/>
  <c r="K454" i="2"/>
  <c r="L454" i="2"/>
  <c r="M454" i="2"/>
  <c r="N454" i="2"/>
  <c r="O454" i="2"/>
  <c r="Q454" i="2"/>
  <c r="R454" i="2"/>
  <c r="S454" i="2"/>
  <c r="T454" i="2"/>
  <c r="B455" i="2"/>
  <c r="C455" i="2"/>
  <c r="D455" i="2"/>
  <c r="E455" i="2"/>
  <c r="F455" i="2"/>
  <c r="G455" i="2"/>
  <c r="H455" i="2"/>
  <c r="U455" i="2" s="1"/>
  <c r="I455" i="2"/>
  <c r="J455" i="2"/>
  <c r="K455" i="2"/>
  <c r="L455" i="2"/>
  <c r="M455" i="2"/>
  <c r="N455" i="2"/>
  <c r="O455" i="2"/>
  <c r="Q455" i="2"/>
  <c r="R455" i="2"/>
  <c r="S455" i="2"/>
  <c r="T455" i="2"/>
  <c r="B456" i="2"/>
  <c r="C456" i="2"/>
  <c r="D456" i="2"/>
  <c r="E456" i="2"/>
  <c r="F456" i="2"/>
  <c r="G456" i="2"/>
  <c r="H456" i="2"/>
  <c r="U456" i="2" s="1"/>
  <c r="I456" i="2"/>
  <c r="J456" i="2"/>
  <c r="K456" i="2"/>
  <c r="L456" i="2"/>
  <c r="M456" i="2"/>
  <c r="N456" i="2"/>
  <c r="O456" i="2"/>
  <c r="Q456" i="2"/>
  <c r="R456" i="2"/>
  <c r="S456" i="2"/>
  <c r="T456" i="2"/>
  <c r="B457" i="2"/>
  <c r="C457" i="2"/>
  <c r="D457" i="2"/>
  <c r="E457" i="2"/>
  <c r="F457" i="2"/>
  <c r="G457" i="2"/>
  <c r="H457" i="2"/>
  <c r="U457" i="2" s="1"/>
  <c r="I457" i="2"/>
  <c r="J457" i="2"/>
  <c r="K457" i="2"/>
  <c r="L457" i="2"/>
  <c r="M457" i="2"/>
  <c r="N457" i="2"/>
  <c r="O457" i="2"/>
  <c r="Q457" i="2"/>
  <c r="R457" i="2"/>
  <c r="S457" i="2"/>
  <c r="T457" i="2"/>
  <c r="B458" i="2"/>
  <c r="C458" i="2"/>
  <c r="D458" i="2"/>
  <c r="E458" i="2"/>
  <c r="F458" i="2"/>
  <c r="G458" i="2"/>
  <c r="H458" i="2"/>
  <c r="U458" i="2" s="1"/>
  <c r="I458" i="2"/>
  <c r="J458" i="2"/>
  <c r="K458" i="2"/>
  <c r="L458" i="2"/>
  <c r="M458" i="2"/>
  <c r="N458" i="2"/>
  <c r="O458" i="2"/>
  <c r="Q458" i="2"/>
  <c r="R458" i="2"/>
  <c r="S458" i="2"/>
  <c r="T458" i="2"/>
  <c r="B459" i="2"/>
  <c r="C459" i="2"/>
  <c r="D459" i="2"/>
  <c r="E459" i="2"/>
  <c r="F459" i="2"/>
  <c r="G459" i="2"/>
  <c r="H459" i="2"/>
  <c r="U459" i="2" s="1"/>
  <c r="I459" i="2"/>
  <c r="J459" i="2"/>
  <c r="K459" i="2"/>
  <c r="L459" i="2"/>
  <c r="M459" i="2"/>
  <c r="N459" i="2"/>
  <c r="O459" i="2"/>
  <c r="Q459" i="2"/>
  <c r="R459" i="2"/>
  <c r="S459" i="2"/>
  <c r="T459" i="2"/>
  <c r="B460" i="2"/>
  <c r="C460" i="2"/>
  <c r="D460" i="2"/>
  <c r="E460" i="2"/>
  <c r="F460" i="2"/>
  <c r="G460" i="2"/>
  <c r="H460" i="2"/>
  <c r="U460" i="2" s="1"/>
  <c r="I460" i="2"/>
  <c r="J460" i="2"/>
  <c r="K460" i="2"/>
  <c r="L460" i="2"/>
  <c r="M460" i="2"/>
  <c r="N460" i="2"/>
  <c r="O460" i="2"/>
  <c r="Q460" i="2"/>
  <c r="R460" i="2"/>
  <c r="S460" i="2"/>
  <c r="T460" i="2"/>
  <c r="B461" i="2"/>
  <c r="C461" i="2"/>
  <c r="D461" i="2"/>
  <c r="E461" i="2"/>
  <c r="F461" i="2"/>
  <c r="G461" i="2"/>
  <c r="H461" i="2"/>
  <c r="U461" i="2" s="1"/>
  <c r="I461" i="2"/>
  <c r="J461" i="2"/>
  <c r="K461" i="2"/>
  <c r="L461" i="2"/>
  <c r="M461" i="2"/>
  <c r="N461" i="2"/>
  <c r="O461" i="2"/>
  <c r="Q461" i="2"/>
  <c r="R461" i="2"/>
  <c r="S461" i="2"/>
  <c r="T461" i="2"/>
  <c r="B462" i="2"/>
  <c r="C462" i="2"/>
  <c r="D462" i="2"/>
  <c r="E462" i="2"/>
  <c r="F462" i="2"/>
  <c r="G462" i="2"/>
  <c r="H462" i="2"/>
  <c r="U462" i="2" s="1"/>
  <c r="I462" i="2"/>
  <c r="J462" i="2"/>
  <c r="K462" i="2"/>
  <c r="L462" i="2"/>
  <c r="M462" i="2"/>
  <c r="N462" i="2"/>
  <c r="O462" i="2"/>
  <c r="Q462" i="2"/>
  <c r="R462" i="2"/>
  <c r="S462" i="2"/>
  <c r="T462" i="2"/>
  <c r="B463" i="2"/>
  <c r="C463" i="2"/>
  <c r="D463" i="2"/>
  <c r="E463" i="2"/>
  <c r="F463" i="2"/>
  <c r="G463" i="2"/>
  <c r="H463" i="2"/>
  <c r="U463" i="2" s="1"/>
  <c r="I463" i="2"/>
  <c r="J463" i="2"/>
  <c r="K463" i="2"/>
  <c r="L463" i="2"/>
  <c r="M463" i="2"/>
  <c r="N463" i="2"/>
  <c r="O463" i="2"/>
  <c r="Q463" i="2"/>
  <c r="R463" i="2"/>
  <c r="S463" i="2"/>
  <c r="T463" i="2"/>
  <c r="B464" i="2"/>
  <c r="C464" i="2"/>
  <c r="D464" i="2"/>
  <c r="E464" i="2"/>
  <c r="F464" i="2"/>
  <c r="G464" i="2"/>
  <c r="H464" i="2"/>
  <c r="U464" i="2" s="1"/>
  <c r="I464" i="2"/>
  <c r="J464" i="2"/>
  <c r="K464" i="2"/>
  <c r="L464" i="2"/>
  <c r="M464" i="2"/>
  <c r="N464" i="2"/>
  <c r="O464" i="2"/>
  <c r="Q464" i="2"/>
  <c r="R464" i="2"/>
  <c r="S464" i="2"/>
  <c r="T464" i="2"/>
  <c r="B465" i="2"/>
  <c r="C465" i="2"/>
  <c r="D465" i="2"/>
  <c r="E465" i="2"/>
  <c r="F465" i="2"/>
  <c r="G465" i="2"/>
  <c r="H465" i="2"/>
  <c r="U465" i="2" s="1"/>
  <c r="I465" i="2"/>
  <c r="J465" i="2"/>
  <c r="K465" i="2"/>
  <c r="L465" i="2"/>
  <c r="M465" i="2"/>
  <c r="N465" i="2"/>
  <c r="O465" i="2"/>
  <c r="Q465" i="2"/>
  <c r="R465" i="2"/>
  <c r="S465" i="2"/>
  <c r="T465" i="2"/>
  <c r="B466" i="2"/>
  <c r="C466" i="2"/>
  <c r="D466" i="2"/>
  <c r="E466" i="2"/>
  <c r="F466" i="2"/>
  <c r="G466" i="2"/>
  <c r="H466" i="2"/>
  <c r="U466" i="2" s="1"/>
  <c r="I466" i="2"/>
  <c r="J466" i="2"/>
  <c r="K466" i="2"/>
  <c r="L466" i="2"/>
  <c r="M466" i="2"/>
  <c r="N466" i="2"/>
  <c r="O466" i="2"/>
  <c r="Q466" i="2"/>
  <c r="R466" i="2"/>
  <c r="S466" i="2"/>
  <c r="T466" i="2"/>
  <c r="B467" i="2"/>
  <c r="C467" i="2"/>
  <c r="D467" i="2"/>
  <c r="E467" i="2"/>
  <c r="F467" i="2"/>
  <c r="G467" i="2"/>
  <c r="H467" i="2"/>
  <c r="U467" i="2" s="1"/>
  <c r="I467" i="2"/>
  <c r="J467" i="2"/>
  <c r="K467" i="2"/>
  <c r="L467" i="2"/>
  <c r="M467" i="2"/>
  <c r="N467" i="2"/>
  <c r="O467" i="2"/>
  <c r="Q467" i="2"/>
  <c r="R467" i="2"/>
  <c r="S467" i="2"/>
  <c r="T467" i="2"/>
  <c r="B468" i="2"/>
  <c r="C468" i="2"/>
  <c r="D468" i="2"/>
  <c r="E468" i="2"/>
  <c r="F468" i="2"/>
  <c r="G468" i="2"/>
  <c r="H468" i="2"/>
  <c r="U468" i="2" s="1"/>
  <c r="I468" i="2"/>
  <c r="J468" i="2"/>
  <c r="K468" i="2"/>
  <c r="L468" i="2"/>
  <c r="M468" i="2"/>
  <c r="N468" i="2"/>
  <c r="O468" i="2"/>
  <c r="Q468" i="2"/>
  <c r="R468" i="2"/>
  <c r="S468" i="2"/>
  <c r="T468" i="2"/>
  <c r="B469" i="2"/>
  <c r="C469" i="2"/>
  <c r="D469" i="2"/>
  <c r="E469" i="2"/>
  <c r="F469" i="2"/>
  <c r="G469" i="2"/>
  <c r="H469" i="2"/>
  <c r="U469" i="2" s="1"/>
  <c r="I469" i="2"/>
  <c r="J469" i="2"/>
  <c r="K469" i="2"/>
  <c r="L469" i="2"/>
  <c r="M469" i="2"/>
  <c r="N469" i="2"/>
  <c r="O469" i="2"/>
  <c r="Q469" i="2"/>
  <c r="R469" i="2"/>
  <c r="S469" i="2"/>
  <c r="T469" i="2"/>
  <c r="B470" i="2"/>
  <c r="C470" i="2"/>
  <c r="D470" i="2"/>
  <c r="E470" i="2"/>
  <c r="F470" i="2"/>
  <c r="G470" i="2"/>
  <c r="H470" i="2"/>
  <c r="U470" i="2" s="1"/>
  <c r="I470" i="2"/>
  <c r="J470" i="2"/>
  <c r="K470" i="2"/>
  <c r="L470" i="2"/>
  <c r="M470" i="2"/>
  <c r="N470" i="2"/>
  <c r="O470" i="2"/>
  <c r="Q470" i="2"/>
  <c r="R470" i="2"/>
  <c r="S470" i="2"/>
  <c r="T470" i="2"/>
  <c r="B471" i="2"/>
  <c r="C471" i="2"/>
  <c r="D471" i="2"/>
  <c r="E471" i="2"/>
  <c r="F471" i="2"/>
  <c r="G471" i="2"/>
  <c r="H471" i="2"/>
  <c r="U471" i="2" s="1"/>
  <c r="I471" i="2"/>
  <c r="J471" i="2"/>
  <c r="K471" i="2"/>
  <c r="L471" i="2"/>
  <c r="M471" i="2"/>
  <c r="N471" i="2"/>
  <c r="O471" i="2"/>
  <c r="Q471" i="2"/>
  <c r="R471" i="2"/>
  <c r="S471" i="2"/>
  <c r="T471" i="2"/>
  <c r="B472" i="2"/>
  <c r="C472" i="2"/>
  <c r="D472" i="2"/>
  <c r="E472" i="2"/>
  <c r="F472" i="2"/>
  <c r="G472" i="2"/>
  <c r="H472" i="2"/>
  <c r="U472" i="2" s="1"/>
  <c r="I472" i="2"/>
  <c r="J472" i="2"/>
  <c r="K472" i="2"/>
  <c r="L472" i="2"/>
  <c r="M472" i="2"/>
  <c r="N472" i="2"/>
  <c r="O472" i="2"/>
  <c r="Q472" i="2"/>
  <c r="R472" i="2"/>
  <c r="S472" i="2"/>
  <c r="T472" i="2"/>
  <c r="B473" i="2"/>
  <c r="C473" i="2"/>
  <c r="D473" i="2"/>
  <c r="E473" i="2"/>
  <c r="F473" i="2"/>
  <c r="G473" i="2"/>
  <c r="H473" i="2"/>
  <c r="U473" i="2" s="1"/>
  <c r="I473" i="2"/>
  <c r="J473" i="2"/>
  <c r="K473" i="2"/>
  <c r="L473" i="2"/>
  <c r="M473" i="2"/>
  <c r="N473" i="2"/>
  <c r="O473" i="2"/>
  <c r="Q473" i="2"/>
  <c r="R473" i="2"/>
  <c r="S473" i="2"/>
  <c r="T473" i="2"/>
  <c r="B474" i="2"/>
  <c r="C474" i="2"/>
  <c r="D474" i="2"/>
  <c r="E474" i="2"/>
  <c r="F474" i="2"/>
  <c r="G474" i="2"/>
  <c r="H474" i="2"/>
  <c r="U474" i="2" s="1"/>
  <c r="I474" i="2"/>
  <c r="J474" i="2"/>
  <c r="K474" i="2"/>
  <c r="L474" i="2"/>
  <c r="M474" i="2"/>
  <c r="N474" i="2"/>
  <c r="O474" i="2"/>
  <c r="Q474" i="2"/>
  <c r="R474" i="2"/>
  <c r="S474" i="2"/>
  <c r="T474" i="2"/>
  <c r="B475" i="2"/>
  <c r="C475" i="2"/>
  <c r="D475" i="2"/>
  <c r="E475" i="2"/>
  <c r="F475" i="2"/>
  <c r="G475" i="2"/>
  <c r="H475" i="2"/>
  <c r="U475" i="2" s="1"/>
  <c r="I475" i="2"/>
  <c r="J475" i="2"/>
  <c r="K475" i="2"/>
  <c r="L475" i="2"/>
  <c r="M475" i="2"/>
  <c r="N475" i="2"/>
  <c r="O475" i="2"/>
  <c r="Q475" i="2"/>
  <c r="R475" i="2"/>
  <c r="S475" i="2"/>
  <c r="T475" i="2"/>
  <c r="B476" i="2"/>
  <c r="C476" i="2"/>
  <c r="D476" i="2"/>
  <c r="E476" i="2"/>
  <c r="F476" i="2"/>
  <c r="G476" i="2"/>
  <c r="H476" i="2"/>
  <c r="U476" i="2" s="1"/>
  <c r="I476" i="2"/>
  <c r="J476" i="2"/>
  <c r="K476" i="2"/>
  <c r="L476" i="2"/>
  <c r="M476" i="2"/>
  <c r="N476" i="2"/>
  <c r="O476" i="2"/>
  <c r="Q476" i="2"/>
  <c r="R476" i="2"/>
  <c r="S476" i="2"/>
  <c r="T476" i="2"/>
  <c r="B2" i="2"/>
  <c r="C2" i="2"/>
  <c r="D2" i="2"/>
  <c r="E2" i="2"/>
  <c r="F2" i="2"/>
  <c r="G2" i="2"/>
  <c r="H2" i="2"/>
  <c r="U2" i="2" s="1"/>
  <c r="I2" i="2"/>
  <c r="J2" i="2"/>
  <c r="K2" i="2"/>
  <c r="L2" i="2"/>
  <c r="M2" i="2"/>
  <c r="N2" i="2"/>
  <c r="O2" i="2"/>
  <c r="Q2" i="2"/>
  <c r="R2" i="2"/>
  <c r="S2" i="2"/>
  <c r="T2" i="2"/>
  <c r="B3" i="2"/>
  <c r="C3" i="2"/>
  <c r="D3" i="2"/>
  <c r="E3" i="2"/>
  <c r="F3" i="2"/>
  <c r="G3" i="2"/>
  <c r="H3" i="2"/>
  <c r="U3" i="2" s="1"/>
  <c r="I3" i="2"/>
  <c r="J3" i="2"/>
  <c r="K3" i="2"/>
  <c r="L3" i="2"/>
  <c r="M3" i="2"/>
  <c r="N3" i="2"/>
  <c r="O3" i="2"/>
  <c r="Q3" i="2"/>
  <c r="R3" i="2"/>
  <c r="S3" i="2"/>
  <c r="T3" i="2"/>
  <c r="B4" i="2"/>
  <c r="C4" i="2"/>
  <c r="D4" i="2"/>
  <c r="E4" i="2"/>
  <c r="F4" i="2"/>
  <c r="G4" i="2"/>
  <c r="H4" i="2"/>
  <c r="U4" i="2" s="1"/>
  <c r="I4" i="2"/>
  <c r="J4" i="2"/>
  <c r="K4" i="2"/>
  <c r="L4" i="2"/>
  <c r="M4" i="2"/>
  <c r="N4" i="2"/>
  <c r="O4" i="2"/>
  <c r="Q4" i="2"/>
  <c r="R4" i="2"/>
  <c r="S4" i="2"/>
  <c r="T4" i="2"/>
  <c r="B5" i="2"/>
  <c r="C5" i="2"/>
  <c r="D5" i="2"/>
  <c r="E5" i="2"/>
  <c r="F5" i="2"/>
  <c r="G5" i="2"/>
  <c r="H5" i="2"/>
  <c r="U5" i="2" s="1"/>
  <c r="I5" i="2"/>
  <c r="J5" i="2"/>
  <c r="K5" i="2"/>
  <c r="L5" i="2"/>
  <c r="M5" i="2"/>
  <c r="N5" i="2"/>
  <c r="O5" i="2"/>
  <c r="Q5" i="2"/>
  <c r="R5" i="2"/>
  <c r="S5" i="2"/>
  <c r="T5" i="2"/>
  <c r="B6" i="2"/>
  <c r="C6" i="2"/>
  <c r="D6" i="2"/>
  <c r="E6" i="2"/>
  <c r="F6" i="2"/>
  <c r="G6" i="2"/>
  <c r="H6" i="2"/>
  <c r="U6" i="2" s="1"/>
  <c r="I6" i="2"/>
  <c r="J6" i="2"/>
  <c r="K6" i="2"/>
  <c r="L6" i="2"/>
  <c r="M6" i="2"/>
  <c r="N6" i="2"/>
  <c r="O6" i="2"/>
  <c r="Q6" i="2"/>
  <c r="R6" i="2"/>
  <c r="S6" i="2"/>
  <c r="T6" i="2"/>
  <c r="B7" i="2"/>
  <c r="C7" i="2"/>
  <c r="D7" i="2"/>
  <c r="E7" i="2"/>
  <c r="F7" i="2"/>
  <c r="G7" i="2"/>
  <c r="H7" i="2"/>
  <c r="U7" i="2" s="1"/>
  <c r="I7" i="2"/>
  <c r="J7" i="2"/>
  <c r="K7" i="2"/>
  <c r="L7" i="2"/>
  <c r="M7" i="2"/>
  <c r="N7" i="2"/>
  <c r="O7" i="2"/>
  <c r="Q7" i="2"/>
  <c r="R7" i="2"/>
  <c r="S7" i="2"/>
  <c r="T7" i="2"/>
  <c r="B8" i="2"/>
  <c r="C8" i="2"/>
  <c r="D8" i="2"/>
  <c r="E8" i="2"/>
  <c r="F8" i="2"/>
  <c r="G8" i="2"/>
  <c r="H8" i="2"/>
  <c r="U8" i="2" s="1"/>
  <c r="I8" i="2"/>
  <c r="J8" i="2"/>
  <c r="K8" i="2"/>
  <c r="L8" i="2"/>
  <c r="M8" i="2"/>
  <c r="N8" i="2"/>
  <c r="O8" i="2"/>
  <c r="Q8" i="2"/>
  <c r="R8" i="2"/>
  <c r="S8" i="2"/>
  <c r="T8" i="2"/>
  <c r="B9" i="2"/>
  <c r="C9" i="2"/>
  <c r="D9" i="2"/>
  <c r="E9" i="2"/>
  <c r="F9" i="2"/>
  <c r="G9" i="2"/>
  <c r="H9" i="2"/>
  <c r="U9" i="2" s="1"/>
  <c r="I9" i="2"/>
  <c r="J9" i="2"/>
  <c r="K9" i="2"/>
  <c r="L9" i="2"/>
  <c r="M9" i="2"/>
  <c r="N9" i="2"/>
  <c r="O9" i="2"/>
  <c r="Q9" i="2"/>
  <c r="R9" i="2"/>
  <c r="S9" i="2"/>
  <c r="T9" i="2"/>
  <c r="B10" i="2"/>
  <c r="C10" i="2"/>
  <c r="D10" i="2"/>
  <c r="E10" i="2"/>
  <c r="F10" i="2"/>
  <c r="G10" i="2"/>
  <c r="H10" i="2"/>
  <c r="U10" i="2" s="1"/>
  <c r="I10" i="2"/>
  <c r="J10" i="2"/>
  <c r="K10" i="2"/>
  <c r="L10" i="2"/>
  <c r="M10" i="2"/>
  <c r="N10" i="2"/>
  <c r="O10" i="2"/>
  <c r="Q10" i="2"/>
  <c r="R10" i="2"/>
  <c r="S10" i="2"/>
  <c r="T10" i="2"/>
  <c r="B11" i="2"/>
  <c r="C11" i="2"/>
  <c r="D11" i="2"/>
  <c r="E11" i="2"/>
  <c r="F11" i="2"/>
  <c r="G11" i="2"/>
  <c r="H11" i="2"/>
  <c r="U11" i="2" s="1"/>
  <c r="I11" i="2"/>
  <c r="J11" i="2"/>
  <c r="K11" i="2"/>
  <c r="L11" i="2"/>
  <c r="M11" i="2"/>
  <c r="N11" i="2"/>
  <c r="O11" i="2"/>
  <c r="Q11" i="2"/>
  <c r="R11" i="2"/>
  <c r="S11" i="2"/>
  <c r="T11" i="2"/>
  <c r="B12" i="2"/>
  <c r="C12" i="2"/>
  <c r="D12" i="2"/>
  <c r="E12" i="2"/>
  <c r="F12" i="2"/>
  <c r="G12" i="2"/>
  <c r="H12" i="2"/>
  <c r="U12" i="2" s="1"/>
  <c r="I12" i="2"/>
  <c r="J12" i="2"/>
  <c r="K12" i="2"/>
  <c r="L12" i="2"/>
  <c r="M12" i="2"/>
  <c r="N12" i="2"/>
  <c r="O12" i="2"/>
  <c r="Q12" i="2"/>
  <c r="R12" i="2"/>
  <c r="S12" i="2"/>
  <c r="T12" i="2"/>
  <c r="B13" i="2"/>
  <c r="C13" i="2"/>
  <c r="D13" i="2"/>
  <c r="E13" i="2"/>
  <c r="F13" i="2"/>
  <c r="G13" i="2"/>
  <c r="H13" i="2"/>
  <c r="U13" i="2" s="1"/>
  <c r="I13" i="2"/>
  <c r="J13" i="2"/>
  <c r="K13" i="2"/>
  <c r="L13" i="2"/>
  <c r="M13" i="2"/>
  <c r="N13" i="2"/>
  <c r="O13" i="2"/>
  <c r="Q13" i="2"/>
  <c r="R13" i="2"/>
  <c r="S13" i="2"/>
  <c r="T13" i="2"/>
  <c r="B14" i="2"/>
  <c r="C14" i="2"/>
  <c r="D14" i="2"/>
  <c r="E14" i="2"/>
  <c r="F14" i="2"/>
  <c r="G14" i="2"/>
  <c r="H14" i="2"/>
  <c r="U14" i="2" s="1"/>
  <c r="I14" i="2"/>
  <c r="J14" i="2"/>
  <c r="K14" i="2"/>
  <c r="L14" i="2"/>
  <c r="M14" i="2"/>
  <c r="N14" i="2"/>
  <c r="O14" i="2"/>
  <c r="Q14" i="2"/>
  <c r="R14" i="2"/>
  <c r="S14" i="2"/>
  <c r="T14" i="2"/>
  <c r="B15" i="2"/>
  <c r="C15" i="2"/>
  <c r="D15" i="2"/>
  <c r="E15" i="2"/>
  <c r="F15" i="2"/>
  <c r="G15" i="2"/>
  <c r="H15" i="2"/>
  <c r="U15" i="2" s="1"/>
  <c r="I15" i="2"/>
  <c r="J15" i="2"/>
  <c r="K15" i="2"/>
  <c r="L15" i="2"/>
  <c r="M15" i="2"/>
  <c r="N15" i="2"/>
  <c r="O15" i="2"/>
  <c r="Q15" i="2"/>
  <c r="R15" i="2"/>
  <c r="S15" i="2"/>
  <c r="T15" i="2"/>
  <c r="B16" i="2"/>
  <c r="C16" i="2"/>
  <c r="D16" i="2"/>
  <c r="E16" i="2"/>
  <c r="F16" i="2"/>
  <c r="G16" i="2"/>
  <c r="H16" i="2"/>
  <c r="U16" i="2" s="1"/>
  <c r="I16" i="2"/>
  <c r="J16" i="2"/>
  <c r="K16" i="2"/>
  <c r="L16" i="2"/>
  <c r="M16" i="2"/>
  <c r="N16" i="2"/>
  <c r="O16" i="2"/>
  <c r="Q16" i="2"/>
  <c r="R16" i="2"/>
  <c r="S16" i="2"/>
  <c r="T16" i="2"/>
  <c r="B17" i="2"/>
  <c r="C17" i="2"/>
  <c r="D17" i="2"/>
  <c r="E17" i="2"/>
  <c r="F17" i="2"/>
  <c r="G17" i="2"/>
  <c r="H17" i="2"/>
  <c r="U17" i="2" s="1"/>
  <c r="I17" i="2"/>
  <c r="J17" i="2"/>
  <c r="K17" i="2"/>
  <c r="L17" i="2"/>
  <c r="M17" i="2"/>
  <c r="N17" i="2"/>
  <c r="O17" i="2"/>
  <c r="Q17" i="2"/>
  <c r="R17" i="2"/>
  <c r="S17" i="2"/>
  <c r="T17" i="2"/>
  <c r="B18" i="2"/>
  <c r="C18" i="2"/>
  <c r="D18" i="2"/>
  <c r="E18" i="2"/>
  <c r="F18" i="2"/>
  <c r="G18" i="2"/>
  <c r="H18" i="2"/>
  <c r="U18" i="2" s="1"/>
  <c r="I18" i="2"/>
  <c r="J18" i="2"/>
  <c r="K18" i="2"/>
  <c r="L18" i="2"/>
  <c r="M18" i="2"/>
  <c r="N18" i="2"/>
  <c r="O18" i="2"/>
  <c r="Q18" i="2"/>
  <c r="R18" i="2"/>
  <c r="S18" i="2"/>
  <c r="T18" i="2"/>
  <c r="B19" i="2"/>
  <c r="C19" i="2"/>
  <c r="D19" i="2"/>
  <c r="E19" i="2"/>
  <c r="F19" i="2"/>
  <c r="G19" i="2"/>
  <c r="H19" i="2"/>
  <c r="U19" i="2" s="1"/>
  <c r="I19" i="2"/>
  <c r="J19" i="2"/>
  <c r="K19" i="2"/>
  <c r="L19" i="2"/>
  <c r="M19" i="2"/>
  <c r="N19" i="2"/>
  <c r="O19" i="2"/>
  <c r="Q19" i="2"/>
  <c r="R19" i="2"/>
  <c r="S19" i="2"/>
  <c r="T19" i="2"/>
  <c r="B20" i="2"/>
  <c r="C20" i="2"/>
  <c r="D20" i="2"/>
  <c r="E20" i="2"/>
  <c r="F20" i="2"/>
  <c r="G20" i="2"/>
  <c r="H20" i="2"/>
  <c r="U20" i="2" s="1"/>
  <c r="I20" i="2"/>
  <c r="J20" i="2"/>
  <c r="K20" i="2"/>
  <c r="L20" i="2"/>
  <c r="M20" i="2"/>
  <c r="N20" i="2"/>
  <c r="O20" i="2"/>
  <c r="Q20" i="2"/>
  <c r="R20" i="2"/>
  <c r="S20" i="2"/>
  <c r="T20" i="2"/>
  <c r="B21" i="2"/>
  <c r="C21" i="2"/>
  <c r="D21" i="2"/>
  <c r="E21" i="2"/>
  <c r="F21" i="2"/>
  <c r="G21" i="2"/>
  <c r="H21" i="2"/>
  <c r="U21" i="2" s="1"/>
  <c r="I21" i="2"/>
  <c r="J21" i="2"/>
  <c r="K21" i="2"/>
  <c r="L21" i="2"/>
  <c r="M21" i="2"/>
  <c r="N21" i="2"/>
  <c r="O21" i="2"/>
  <c r="Q21" i="2"/>
  <c r="R21" i="2"/>
  <c r="S21" i="2"/>
  <c r="T21" i="2"/>
  <c r="B22" i="2"/>
  <c r="C22" i="2"/>
  <c r="D22" i="2"/>
  <c r="E22" i="2"/>
  <c r="F22" i="2"/>
  <c r="G22" i="2"/>
  <c r="H22" i="2"/>
  <c r="U22" i="2" s="1"/>
  <c r="I22" i="2"/>
  <c r="J22" i="2"/>
  <c r="K22" i="2"/>
  <c r="L22" i="2"/>
  <c r="M22" i="2"/>
  <c r="N22" i="2"/>
  <c r="O22" i="2"/>
  <c r="Q22" i="2"/>
  <c r="R22" i="2"/>
  <c r="S22" i="2"/>
  <c r="T22" i="2"/>
  <c r="B23" i="2"/>
  <c r="C23" i="2"/>
  <c r="D23" i="2"/>
  <c r="E23" i="2"/>
  <c r="F23" i="2"/>
  <c r="G23" i="2"/>
  <c r="H23" i="2"/>
  <c r="U23" i="2" s="1"/>
  <c r="I23" i="2"/>
  <c r="J23" i="2"/>
  <c r="K23" i="2"/>
  <c r="L23" i="2"/>
  <c r="M23" i="2"/>
  <c r="N23" i="2"/>
  <c r="O23" i="2"/>
  <c r="Q23" i="2"/>
  <c r="R23" i="2"/>
  <c r="S23" i="2"/>
  <c r="T23" i="2"/>
  <c r="B24" i="2"/>
  <c r="C24" i="2"/>
  <c r="D24" i="2"/>
  <c r="E24" i="2"/>
  <c r="F24" i="2"/>
  <c r="G24" i="2"/>
  <c r="H24" i="2"/>
  <c r="U24" i="2" s="1"/>
  <c r="I24" i="2"/>
  <c r="J24" i="2"/>
  <c r="K24" i="2"/>
  <c r="L24" i="2"/>
  <c r="M24" i="2"/>
  <c r="N24" i="2"/>
  <c r="O24" i="2"/>
  <c r="Q24" i="2"/>
  <c r="R24" i="2"/>
  <c r="S24" i="2"/>
  <c r="T24" i="2"/>
  <c r="B25" i="2"/>
  <c r="C25" i="2"/>
  <c r="D25" i="2"/>
  <c r="E25" i="2"/>
  <c r="F25" i="2"/>
  <c r="G25" i="2"/>
  <c r="H25" i="2"/>
  <c r="U25" i="2" s="1"/>
  <c r="I25" i="2"/>
  <c r="J25" i="2"/>
  <c r="K25" i="2"/>
  <c r="L25" i="2"/>
  <c r="M25" i="2"/>
  <c r="N25" i="2"/>
  <c r="O25" i="2"/>
  <c r="Q25" i="2"/>
  <c r="R25" i="2"/>
  <c r="S25" i="2"/>
  <c r="T25" i="2"/>
  <c r="B26" i="2"/>
  <c r="C26" i="2"/>
  <c r="D26" i="2"/>
  <c r="E26" i="2"/>
  <c r="F26" i="2"/>
  <c r="G26" i="2"/>
  <c r="H26" i="2"/>
  <c r="U26" i="2" s="1"/>
  <c r="I26" i="2"/>
  <c r="J26" i="2"/>
  <c r="K26" i="2"/>
  <c r="L26" i="2"/>
  <c r="M26" i="2"/>
  <c r="N26" i="2"/>
  <c r="O26" i="2"/>
  <c r="Q26" i="2"/>
  <c r="R26" i="2"/>
  <c r="S26" i="2"/>
  <c r="T26" i="2"/>
  <c r="B27" i="2"/>
  <c r="C27" i="2"/>
  <c r="D27" i="2"/>
  <c r="E27" i="2"/>
  <c r="F27" i="2"/>
  <c r="G27" i="2"/>
  <c r="H27" i="2"/>
  <c r="U27" i="2" s="1"/>
  <c r="I27" i="2"/>
  <c r="J27" i="2"/>
  <c r="K27" i="2"/>
  <c r="L27" i="2"/>
  <c r="M27" i="2"/>
  <c r="N27" i="2"/>
  <c r="O27" i="2"/>
  <c r="Q27" i="2"/>
  <c r="R27" i="2"/>
  <c r="S27" i="2"/>
  <c r="T27" i="2"/>
  <c r="B28" i="2"/>
  <c r="C28" i="2"/>
  <c r="D28" i="2"/>
  <c r="E28" i="2"/>
  <c r="F28" i="2"/>
  <c r="G28" i="2"/>
  <c r="H28" i="2"/>
  <c r="U28" i="2" s="1"/>
  <c r="I28" i="2"/>
  <c r="J28" i="2"/>
  <c r="K28" i="2"/>
  <c r="L28" i="2"/>
  <c r="M28" i="2"/>
  <c r="N28" i="2"/>
  <c r="O28" i="2"/>
  <c r="Q28" i="2"/>
  <c r="R28" i="2"/>
  <c r="S28" i="2"/>
  <c r="T28" i="2"/>
  <c r="B29" i="2"/>
  <c r="C29" i="2"/>
  <c r="D29" i="2"/>
  <c r="E29" i="2"/>
  <c r="F29" i="2"/>
  <c r="G29" i="2"/>
  <c r="H29" i="2"/>
  <c r="U29" i="2" s="1"/>
  <c r="I29" i="2"/>
  <c r="J29" i="2"/>
  <c r="K29" i="2"/>
  <c r="L29" i="2"/>
  <c r="M29" i="2"/>
  <c r="N29" i="2"/>
  <c r="O29" i="2"/>
  <c r="Q29" i="2"/>
  <c r="R29" i="2"/>
  <c r="S29" i="2"/>
  <c r="T29" i="2"/>
  <c r="B30" i="2"/>
  <c r="C30" i="2"/>
  <c r="D30" i="2"/>
  <c r="E30" i="2"/>
  <c r="F30" i="2"/>
  <c r="G30" i="2"/>
  <c r="H30" i="2"/>
  <c r="U30" i="2" s="1"/>
  <c r="I30" i="2"/>
  <c r="J30" i="2"/>
  <c r="K30" i="2"/>
  <c r="L30" i="2"/>
  <c r="M30" i="2"/>
  <c r="N30" i="2"/>
  <c r="O30" i="2"/>
  <c r="Q30" i="2"/>
  <c r="R30" i="2"/>
  <c r="S30" i="2"/>
  <c r="T30" i="2"/>
  <c r="B31" i="2"/>
  <c r="C31" i="2"/>
  <c r="D31" i="2"/>
  <c r="E31" i="2"/>
  <c r="F31" i="2"/>
  <c r="G31" i="2"/>
  <c r="H31" i="2"/>
  <c r="U31" i="2" s="1"/>
  <c r="I31" i="2"/>
  <c r="J31" i="2"/>
  <c r="K31" i="2"/>
  <c r="L31" i="2"/>
  <c r="M31" i="2"/>
  <c r="N31" i="2"/>
  <c r="O31" i="2"/>
  <c r="Q31" i="2"/>
  <c r="R31" i="2"/>
  <c r="S31" i="2"/>
  <c r="T31" i="2"/>
  <c r="B32" i="2"/>
  <c r="C32" i="2"/>
  <c r="D32" i="2"/>
  <c r="E32" i="2"/>
  <c r="F32" i="2"/>
  <c r="G32" i="2"/>
  <c r="H32" i="2"/>
  <c r="U32" i="2" s="1"/>
  <c r="I32" i="2"/>
  <c r="J32" i="2"/>
  <c r="K32" i="2"/>
  <c r="L32" i="2"/>
  <c r="M32" i="2"/>
  <c r="N32" i="2"/>
  <c r="O32" i="2"/>
  <c r="Q32" i="2"/>
  <c r="R32" i="2"/>
  <c r="S32" i="2"/>
  <c r="T32" i="2"/>
  <c r="B33" i="2"/>
  <c r="C33" i="2"/>
  <c r="D33" i="2"/>
  <c r="E33" i="2"/>
  <c r="F33" i="2"/>
  <c r="G33" i="2"/>
  <c r="H33" i="2"/>
  <c r="U33" i="2" s="1"/>
  <c r="I33" i="2"/>
  <c r="J33" i="2"/>
  <c r="K33" i="2"/>
  <c r="L33" i="2"/>
  <c r="M33" i="2"/>
  <c r="N33" i="2"/>
  <c r="O33" i="2"/>
  <c r="Q33" i="2"/>
  <c r="R33" i="2"/>
  <c r="S33" i="2"/>
  <c r="T33" i="2"/>
  <c r="B34" i="2"/>
  <c r="C34" i="2"/>
  <c r="D34" i="2"/>
  <c r="E34" i="2"/>
  <c r="F34" i="2"/>
  <c r="G34" i="2"/>
  <c r="H34" i="2"/>
  <c r="U34" i="2" s="1"/>
  <c r="I34" i="2"/>
  <c r="J34" i="2"/>
  <c r="K34" i="2"/>
  <c r="L34" i="2"/>
  <c r="M34" i="2"/>
  <c r="N34" i="2"/>
  <c r="O34" i="2"/>
  <c r="Q34" i="2"/>
  <c r="R34" i="2"/>
  <c r="S34" i="2"/>
  <c r="T34" i="2"/>
  <c r="B35" i="2"/>
  <c r="C35" i="2"/>
  <c r="D35" i="2"/>
  <c r="E35" i="2"/>
  <c r="F35" i="2"/>
  <c r="G35" i="2"/>
  <c r="H35" i="2"/>
  <c r="U35" i="2" s="1"/>
  <c r="I35" i="2"/>
  <c r="J35" i="2"/>
  <c r="K35" i="2"/>
  <c r="L35" i="2"/>
  <c r="M35" i="2"/>
  <c r="N35" i="2"/>
  <c r="O35" i="2"/>
  <c r="Q35" i="2"/>
  <c r="R35" i="2"/>
  <c r="S35" i="2"/>
  <c r="T35" i="2"/>
  <c r="B36" i="2"/>
  <c r="C36" i="2"/>
  <c r="D36" i="2"/>
  <c r="E36" i="2"/>
  <c r="F36" i="2"/>
  <c r="G36" i="2"/>
  <c r="H36" i="2"/>
  <c r="U36" i="2" s="1"/>
  <c r="I36" i="2"/>
  <c r="J36" i="2"/>
  <c r="K36" i="2"/>
  <c r="L36" i="2"/>
  <c r="M36" i="2"/>
  <c r="N36" i="2"/>
  <c r="O36" i="2"/>
  <c r="Q36" i="2"/>
  <c r="R36" i="2"/>
  <c r="S36" i="2"/>
  <c r="T36" i="2"/>
  <c r="B37" i="2"/>
  <c r="C37" i="2"/>
  <c r="D37" i="2"/>
  <c r="E37" i="2"/>
  <c r="F37" i="2"/>
  <c r="G37" i="2"/>
  <c r="H37" i="2"/>
  <c r="U37" i="2" s="1"/>
  <c r="I37" i="2"/>
  <c r="J37" i="2"/>
  <c r="K37" i="2"/>
  <c r="L37" i="2"/>
  <c r="M37" i="2"/>
  <c r="N37" i="2"/>
  <c r="O37" i="2"/>
  <c r="Q37" i="2"/>
  <c r="R37" i="2"/>
  <c r="S37" i="2"/>
  <c r="T37" i="2"/>
  <c r="B38" i="2"/>
  <c r="C38" i="2"/>
  <c r="D38" i="2"/>
  <c r="E38" i="2"/>
  <c r="F38" i="2"/>
  <c r="G38" i="2"/>
  <c r="H38" i="2"/>
  <c r="U38" i="2" s="1"/>
  <c r="I38" i="2"/>
  <c r="J38" i="2"/>
  <c r="K38" i="2"/>
  <c r="L38" i="2"/>
  <c r="M38" i="2"/>
  <c r="N38" i="2"/>
  <c r="O38" i="2"/>
  <c r="Q38" i="2"/>
  <c r="R38" i="2"/>
  <c r="S38" i="2"/>
  <c r="T38" i="2"/>
  <c r="B39" i="2"/>
  <c r="C39" i="2"/>
  <c r="D39" i="2"/>
  <c r="E39" i="2"/>
  <c r="F39" i="2"/>
  <c r="G39" i="2"/>
  <c r="H39" i="2"/>
  <c r="U39" i="2" s="1"/>
  <c r="I39" i="2"/>
  <c r="J39" i="2"/>
  <c r="K39" i="2"/>
  <c r="L39" i="2"/>
  <c r="M39" i="2"/>
  <c r="N39" i="2"/>
  <c r="O39" i="2"/>
  <c r="Q39" i="2"/>
  <c r="R39" i="2"/>
  <c r="S39" i="2"/>
  <c r="T39" i="2"/>
  <c r="B40" i="2"/>
  <c r="C40" i="2"/>
  <c r="D40" i="2"/>
  <c r="E40" i="2"/>
  <c r="F40" i="2"/>
  <c r="G40" i="2"/>
  <c r="H40" i="2"/>
  <c r="U40" i="2" s="1"/>
  <c r="I40" i="2"/>
  <c r="J40" i="2"/>
  <c r="K40" i="2"/>
  <c r="L40" i="2"/>
  <c r="M40" i="2"/>
  <c r="N40" i="2"/>
  <c r="O40" i="2"/>
  <c r="Q40" i="2"/>
  <c r="R40" i="2"/>
  <c r="S40" i="2"/>
  <c r="T40" i="2"/>
  <c r="B41" i="2"/>
  <c r="C41" i="2"/>
  <c r="D41" i="2"/>
  <c r="E41" i="2"/>
  <c r="F41" i="2"/>
  <c r="G41" i="2"/>
  <c r="H41" i="2"/>
  <c r="U41" i="2" s="1"/>
  <c r="I41" i="2"/>
  <c r="J41" i="2"/>
  <c r="K41" i="2"/>
  <c r="L41" i="2"/>
  <c r="M41" i="2"/>
  <c r="N41" i="2"/>
  <c r="O41" i="2"/>
  <c r="Q41" i="2"/>
  <c r="R41" i="2"/>
  <c r="S41" i="2"/>
  <c r="T41" i="2"/>
  <c r="B42" i="2"/>
  <c r="C42" i="2"/>
  <c r="D42" i="2"/>
  <c r="E42" i="2"/>
  <c r="F42" i="2"/>
  <c r="G42" i="2"/>
  <c r="H42" i="2"/>
  <c r="U42" i="2" s="1"/>
  <c r="I42" i="2"/>
  <c r="J42" i="2"/>
  <c r="K42" i="2"/>
  <c r="L42" i="2"/>
  <c r="M42" i="2"/>
  <c r="N42" i="2"/>
  <c r="O42" i="2"/>
  <c r="Q42" i="2"/>
  <c r="R42" i="2"/>
  <c r="S42" i="2"/>
  <c r="T42" i="2"/>
  <c r="B43" i="2"/>
  <c r="C43" i="2"/>
  <c r="D43" i="2"/>
  <c r="E43" i="2"/>
  <c r="F43" i="2"/>
  <c r="G43" i="2"/>
  <c r="H43" i="2"/>
  <c r="U43" i="2" s="1"/>
  <c r="I43" i="2"/>
  <c r="J43" i="2"/>
  <c r="K43" i="2"/>
  <c r="L43" i="2"/>
  <c r="M43" i="2"/>
  <c r="N43" i="2"/>
  <c r="O43" i="2"/>
  <c r="Q43" i="2"/>
  <c r="R43" i="2"/>
  <c r="S43" i="2"/>
  <c r="T43" i="2"/>
  <c r="B44" i="2"/>
  <c r="C44" i="2"/>
  <c r="D44" i="2"/>
  <c r="E44" i="2"/>
  <c r="F44" i="2"/>
  <c r="G44" i="2"/>
  <c r="H44" i="2"/>
  <c r="U44" i="2" s="1"/>
  <c r="I44" i="2"/>
  <c r="J44" i="2"/>
  <c r="K44" i="2"/>
  <c r="L44" i="2"/>
  <c r="M44" i="2"/>
  <c r="N44" i="2"/>
  <c r="O44" i="2"/>
  <c r="Q44" i="2"/>
  <c r="R44" i="2"/>
  <c r="S44" i="2"/>
  <c r="T44" i="2"/>
  <c r="B45" i="2"/>
  <c r="C45" i="2"/>
  <c r="D45" i="2"/>
  <c r="E45" i="2"/>
  <c r="F45" i="2"/>
  <c r="G45" i="2"/>
  <c r="H45" i="2"/>
  <c r="U45" i="2" s="1"/>
  <c r="I45" i="2"/>
  <c r="J45" i="2"/>
  <c r="K45" i="2"/>
  <c r="L45" i="2"/>
  <c r="M45" i="2"/>
  <c r="N45" i="2"/>
  <c r="O45" i="2"/>
  <c r="Q45" i="2"/>
  <c r="R45" i="2"/>
  <c r="S45" i="2"/>
  <c r="T45" i="2"/>
  <c r="B46" i="2"/>
  <c r="C46" i="2"/>
  <c r="D46" i="2"/>
  <c r="E46" i="2"/>
  <c r="F46" i="2"/>
  <c r="G46" i="2"/>
  <c r="H46" i="2"/>
  <c r="U46" i="2" s="1"/>
  <c r="I46" i="2"/>
  <c r="J46" i="2"/>
  <c r="K46" i="2"/>
  <c r="L46" i="2"/>
  <c r="M46" i="2"/>
  <c r="N46" i="2"/>
  <c r="O46" i="2"/>
  <c r="Q46" i="2"/>
  <c r="R46" i="2"/>
  <c r="S46" i="2"/>
  <c r="T46" i="2"/>
  <c r="B47" i="2"/>
  <c r="C47" i="2"/>
  <c r="D47" i="2"/>
  <c r="E47" i="2"/>
  <c r="F47" i="2"/>
  <c r="G47" i="2"/>
  <c r="H47" i="2"/>
  <c r="U47" i="2" s="1"/>
  <c r="I47" i="2"/>
  <c r="J47" i="2"/>
  <c r="K47" i="2"/>
  <c r="L47" i="2"/>
  <c r="M47" i="2"/>
  <c r="N47" i="2"/>
  <c r="O47" i="2"/>
  <c r="Q47" i="2"/>
  <c r="R47" i="2"/>
  <c r="S47" i="2"/>
  <c r="T47" i="2"/>
  <c r="B48" i="2"/>
  <c r="C48" i="2"/>
  <c r="D48" i="2"/>
  <c r="E48" i="2"/>
  <c r="F48" i="2"/>
  <c r="G48" i="2"/>
  <c r="H48" i="2"/>
  <c r="U48" i="2" s="1"/>
  <c r="I48" i="2"/>
  <c r="J48" i="2"/>
  <c r="K48" i="2"/>
  <c r="L48" i="2"/>
  <c r="M48" i="2"/>
  <c r="N48" i="2"/>
  <c r="O48" i="2"/>
  <c r="Q48" i="2"/>
  <c r="R48" i="2"/>
  <c r="S48" i="2"/>
  <c r="T48" i="2"/>
  <c r="B49" i="2"/>
  <c r="C49" i="2"/>
  <c r="D49" i="2"/>
  <c r="E49" i="2"/>
  <c r="F49" i="2"/>
  <c r="G49" i="2"/>
  <c r="H49" i="2"/>
  <c r="U49" i="2" s="1"/>
  <c r="I49" i="2"/>
  <c r="J49" i="2"/>
  <c r="K49" i="2"/>
  <c r="L49" i="2"/>
  <c r="M49" i="2"/>
  <c r="N49" i="2"/>
  <c r="O49" i="2"/>
  <c r="Q49" i="2"/>
  <c r="R49" i="2"/>
  <c r="S49" i="2"/>
  <c r="T49" i="2"/>
  <c r="B50" i="2"/>
  <c r="C50" i="2"/>
  <c r="D50" i="2"/>
  <c r="E50" i="2"/>
  <c r="F50" i="2"/>
  <c r="G50" i="2"/>
  <c r="H50" i="2"/>
  <c r="U50" i="2" s="1"/>
  <c r="I50" i="2"/>
  <c r="J50" i="2"/>
  <c r="K50" i="2"/>
  <c r="L50" i="2"/>
  <c r="M50" i="2"/>
  <c r="N50" i="2"/>
  <c r="O50" i="2"/>
  <c r="Q50" i="2"/>
  <c r="R50" i="2"/>
  <c r="S50" i="2"/>
  <c r="T50" i="2"/>
  <c r="B51" i="2"/>
  <c r="C51" i="2"/>
  <c r="D51" i="2"/>
  <c r="E51" i="2"/>
  <c r="F51" i="2"/>
  <c r="G51" i="2"/>
  <c r="H51" i="2"/>
  <c r="U51" i="2" s="1"/>
  <c r="I51" i="2"/>
  <c r="J51" i="2"/>
  <c r="K51" i="2"/>
  <c r="L51" i="2"/>
  <c r="M51" i="2"/>
  <c r="N51" i="2"/>
  <c r="O51" i="2"/>
  <c r="Q51" i="2"/>
  <c r="R51" i="2"/>
  <c r="S51" i="2"/>
  <c r="T51" i="2"/>
  <c r="B52" i="2"/>
  <c r="C52" i="2"/>
  <c r="D52" i="2"/>
  <c r="E52" i="2"/>
  <c r="F52" i="2"/>
  <c r="G52" i="2"/>
  <c r="H52" i="2"/>
  <c r="U52" i="2" s="1"/>
  <c r="I52" i="2"/>
  <c r="J52" i="2"/>
  <c r="K52" i="2"/>
  <c r="L52" i="2"/>
  <c r="M52" i="2"/>
  <c r="N52" i="2"/>
  <c r="O52" i="2"/>
  <c r="Q52" i="2"/>
  <c r="R52" i="2"/>
  <c r="S52" i="2"/>
  <c r="T52" i="2"/>
  <c r="B53" i="2"/>
  <c r="C53" i="2"/>
  <c r="D53" i="2"/>
  <c r="E53" i="2"/>
  <c r="F53" i="2"/>
  <c r="G53" i="2"/>
  <c r="H53" i="2"/>
  <c r="U53" i="2" s="1"/>
  <c r="I53" i="2"/>
  <c r="J53" i="2"/>
  <c r="K53" i="2"/>
  <c r="L53" i="2"/>
  <c r="M53" i="2"/>
  <c r="N53" i="2"/>
  <c r="O53" i="2"/>
  <c r="Q53" i="2"/>
  <c r="R53" i="2"/>
  <c r="S53" i="2"/>
  <c r="T53" i="2"/>
  <c r="B54" i="2"/>
  <c r="C54" i="2"/>
  <c r="D54" i="2"/>
  <c r="E54" i="2"/>
  <c r="F54" i="2"/>
  <c r="G54" i="2"/>
  <c r="H54" i="2"/>
  <c r="U54" i="2" s="1"/>
  <c r="I54" i="2"/>
  <c r="J54" i="2"/>
  <c r="K54" i="2"/>
  <c r="L54" i="2"/>
  <c r="M54" i="2"/>
  <c r="N54" i="2"/>
  <c r="O54" i="2"/>
  <c r="Q54" i="2"/>
  <c r="R54" i="2"/>
  <c r="S54" i="2"/>
  <c r="T54" i="2"/>
  <c r="B55" i="2"/>
  <c r="C55" i="2"/>
  <c r="D55" i="2"/>
  <c r="E55" i="2"/>
  <c r="F55" i="2"/>
  <c r="G55" i="2"/>
  <c r="H55" i="2"/>
  <c r="U55" i="2" s="1"/>
  <c r="I55" i="2"/>
  <c r="J55" i="2"/>
  <c r="K55" i="2"/>
  <c r="L55" i="2"/>
  <c r="M55" i="2"/>
  <c r="N55" i="2"/>
  <c r="O55" i="2"/>
  <c r="Q55" i="2"/>
  <c r="R55" i="2"/>
  <c r="S55" i="2"/>
  <c r="T55" i="2"/>
  <c r="B56" i="2"/>
  <c r="C56" i="2"/>
  <c r="D56" i="2"/>
  <c r="E56" i="2"/>
  <c r="F56" i="2"/>
  <c r="G56" i="2"/>
  <c r="H56" i="2"/>
  <c r="U56" i="2" s="1"/>
  <c r="I56" i="2"/>
  <c r="J56" i="2"/>
  <c r="K56" i="2"/>
  <c r="L56" i="2"/>
  <c r="M56" i="2"/>
  <c r="N56" i="2"/>
  <c r="O56" i="2"/>
  <c r="Q56" i="2"/>
  <c r="R56" i="2"/>
  <c r="S56" i="2"/>
  <c r="T56" i="2"/>
  <c r="B57" i="2"/>
  <c r="C57" i="2"/>
  <c r="D57" i="2"/>
  <c r="E57" i="2"/>
  <c r="F57" i="2"/>
  <c r="G57" i="2"/>
  <c r="H57" i="2"/>
  <c r="U57" i="2" s="1"/>
  <c r="I57" i="2"/>
  <c r="J57" i="2"/>
  <c r="K57" i="2"/>
  <c r="L57" i="2"/>
  <c r="M57" i="2"/>
  <c r="N57" i="2"/>
  <c r="O57" i="2"/>
  <c r="Q57" i="2"/>
  <c r="R57" i="2"/>
  <c r="S57" i="2"/>
  <c r="T57" i="2"/>
  <c r="B58" i="2"/>
  <c r="C58" i="2"/>
  <c r="D58" i="2"/>
  <c r="E58" i="2"/>
  <c r="F58" i="2"/>
  <c r="G58" i="2"/>
  <c r="H58" i="2"/>
  <c r="U58" i="2" s="1"/>
  <c r="I58" i="2"/>
  <c r="J58" i="2"/>
  <c r="K58" i="2"/>
  <c r="L58" i="2"/>
  <c r="M58" i="2"/>
  <c r="N58" i="2"/>
  <c r="O58" i="2"/>
  <c r="Q58" i="2"/>
  <c r="R58" i="2"/>
  <c r="S58" i="2"/>
  <c r="T58" i="2"/>
  <c r="B59" i="2"/>
  <c r="C59" i="2"/>
  <c r="D59" i="2"/>
  <c r="E59" i="2"/>
  <c r="F59" i="2"/>
  <c r="G59" i="2"/>
  <c r="H59" i="2"/>
  <c r="U59" i="2" s="1"/>
  <c r="I59" i="2"/>
  <c r="J59" i="2"/>
  <c r="K59" i="2"/>
  <c r="L59" i="2"/>
  <c r="M59" i="2"/>
  <c r="N59" i="2"/>
  <c r="O59" i="2"/>
  <c r="Q59" i="2"/>
  <c r="R59" i="2"/>
  <c r="S59" i="2"/>
  <c r="T59" i="2"/>
  <c r="B60" i="2"/>
  <c r="C60" i="2"/>
  <c r="D60" i="2"/>
  <c r="E60" i="2"/>
  <c r="F60" i="2"/>
  <c r="G60" i="2"/>
  <c r="H60" i="2"/>
  <c r="U60" i="2" s="1"/>
  <c r="I60" i="2"/>
  <c r="J60" i="2"/>
  <c r="K60" i="2"/>
  <c r="L60" i="2"/>
  <c r="M60" i="2"/>
  <c r="N60" i="2"/>
  <c r="O60" i="2"/>
  <c r="Q60" i="2"/>
  <c r="R60" i="2"/>
  <c r="S60" i="2"/>
  <c r="T60" i="2"/>
  <c r="B61" i="2"/>
  <c r="C61" i="2"/>
  <c r="D61" i="2"/>
  <c r="E61" i="2"/>
  <c r="F61" i="2"/>
  <c r="G61" i="2"/>
  <c r="H61" i="2"/>
  <c r="U61" i="2" s="1"/>
  <c r="I61" i="2"/>
  <c r="J61" i="2"/>
  <c r="K61" i="2"/>
  <c r="L61" i="2"/>
  <c r="M61" i="2"/>
  <c r="N61" i="2"/>
  <c r="O61" i="2"/>
  <c r="Q61" i="2"/>
  <c r="R61" i="2"/>
  <c r="S61" i="2"/>
  <c r="T61" i="2"/>
  <c r="B62" i="2"/>
  <c r="C62" i="2"/>
  <c r="D62" i="2"/>
  <c r="E62" i="2"/>
  <c r="F62" i="2"/>
  <c r="G62" i="2"/>
  <c r="H62" i="2"/>
  <c r="U62" i="2" s="1"/>
  <c r="I62" i="2"/>
  <c r="J62" i="2"/>
  <c r="K62" i="2"/>
  <c r="L62" i="2"/>
  <c r="M62" i="2"/>
  <c r="N62" i="2"/>
  <c r="O62" i="2"/>
  <c r="Q62" i="2"/>
  <c r="R62" i="2"/>
  <c r="S62" i="2"/>
  <c r="T62" i="2"/>
  <c r="B63" i="2"/>
  <c r="C63" i="2"/>
  <c r="D63" i="2"/>
  <c r="E63" i="2"/>
  <c r="F63" i="2"/>
  <c r="G63" i="2"/>
  <c r="H63" i="2"/>
  <c r="U63" i="2" s="1"/>
  <c r="I63" i="2"/>
  <c r="J63" i="2"/>
  <c r="K63" i="2"/>
  <c r="L63" i="2"/>
  <c r="M63" i="2"/>
  <c r="N63" i="2"/>
  <c r="O63" i="2"/>
  <c r="Q63" i="2"/>
  <c r="R63" i="2"/>
  <c r="S63" i="2"/>
  <c r="T63" i="2"/>
  <c r="B64" i="2"/>
  <c r="C64" i="2"/>
  <c r="D64" i="2"/>
  <c r="E64" i="2"/>
  <c r="F64" i="2"/>
  <c r="G64" i="2"/>
  <c r="H64" i="2"/>
  <c r="U64" i="2" s="1"/>
  <c r="I64" i="2"/>
  <c r="J64" i="2"/>
  <c r="K64" i="2"/>
  <c r="L64" i="2"/>
  <c r="M64" i="2"/>
  <c r="N64" i="2"/>
  <c r="O64" i="2"/>
  <c r="Q64" i="2"/>
  <c r="R64" i="2"/>
  <c r="S64" i="2"/>
  <c r="T64" i="2"/>
  <c r="B65" i="2"/>
  <c r="C65" i="2"/>
  <c r="D65" i="2"/>
  <c r="E65" i="2"/>
  <c r="F65" i="2"/>
  <c r="G65" i="2"/>
  <c r="H65" i="2"/>
  <c r="U65" i="2" s="1"/>
  <c r="I65" i="2"/>
  <c r="J65" i="2"/>
  <c r="K65" i="2"/>
  <c r="L65" i="2"/>
  <c r="M65" i="2"/>
  <c r="N65" i="2"/>
  <c r="O65" i="2"/>
  <c r="Q65" i="2"/>
  <c r="R65" i="2"/>
  <c r="S65" i="2"/>
  <c r="T65" i="2"/>
  <c r="B66" i="2"/>
  <c r="C66" i="2"/>
  <c r="D66" i="2"/>
  <c r="E66" i="2"/>
  <c r="F66" i="2"/>
  <c r="G66" i="2"/>
  <c r="H66" i="2"/>
  <c r="U66" i="2" s="1"/>
  <c r="I66" i="2"/>
  <c r="J66" i="2"/>
  <c r="K66" i="2"/>
  <c r="L66" i="2"/>
  <c r="M66" i="2"/>
  <c r="N66" i="2"/>
  <c r="O66" i="2"/>
  <c r="Q66" i="2"/>
  <c r="R66" i="2"/>
  <c r="S66" i="2"/>
  <c r="T66" i="2"/>
  <c r="B67" i="2"/>
  <c r="C67" i="2"/>
  <c r="D67" i="2"/>
  <c r="E67" i="2"/>
  <c r="F67" i="2"/>
  <c r="G67" i="2"/>
  <c r="H67" i="2"/>
  <c r="U67" i="2" s="1"/>
  <c r="I67" i="2"/>
  <c r="J67" i="2"/>
  <c r="K67" i="2"/>
  <c r="L67" i="2"/>
  <c r="M67" i="2"/>
  <c r="N67" i="2"/>
  <c r="O67" i="2"/>
  <c r="Q67" i="2"/>
  <c r="R67" i="2"/>
  <c r="S67" i="2"/>
  <c r="T67" i="2"/>
  <c r="B68" i="2"/>
  <c r="C68" i="2"/>
  <c r="D68" i="2"/>
  <c r="E68" i="2"/>
  <c r="F68" i="2"/>
  <c r="G68" i="2"/>
  <c r="H68" i="2"/>
  <c r="U68" i="2" s="1"/>
  <c r="I68" i="2"/>
  <c r="J68" i="2"/>
  <c r="K68" i="2"/>
  <c r="L68" i="2"/>
  <c r="M68" i="2"/>
  <c r="N68" i="2"/>
  <c r="O68" i="2"/>
  <c r="Q68" i="2"/>
  <c r="R68" i="2"/>
  <c r="S68" i="2"/>
  <c r="T68" i="2"/>
  <c r="B69" i="2"/>
  <c r="C69" i="2"/>
  <c r="D69" i="2"/>
  <c r="E69" i="2"/>
  <c r="F69" i="2"/>
  <c r="G69" i="2"/>
  <c r="H69" i="2"/>
  <c r="U69" i="2" s="1"/>
  <c r="I69" i="2"/>
  <c r="J69" i="2"/>
  <c r="K69" i="2"/>
  <c r="L69" i="2"/>
  <c r="M69" i="2"/>
  <c r="N69" i="2"/>
  <c r="O69" i="2"/>
  <c r="Q69" i="2"/>
  <c r="R69" i="2"/>
  <c r="S69" i="2"/>
  <c r="T69" i="2"/>
  <c r="B70" i="2"/>
  <c r="C70" i="2"/>
  <c r="D70" i="2"/>
  <c r="E70" i="2"/>
  <c r="F70" i="2"/>
  <c r="G70" i="2"/>
  <c r="H70" i="2"/>
  <c r="U70" i="2" s="1"/>
  <c r="I70" i="2"/>
  <c r="J70" i="2"/>
  <c r="K70" i="2"/>
  <c r="L70" i="2"/>
  <c r="M70" i="2"/>
  <c r="N70" i="2"/>
  <c r="O70" i="2"/>
  <c r="Q70" i="2"/>
  <c r="R70" i="2"/>
  <c r="S70" i="2"/>
  <c r="T70" i="2"/>
  <c r="B71" i="2"/>
  <c r="C71" i="2"/>
  <c r="D71" i="2"/>
  <c r="E71" i="2"/>
  <c r="F71" i="2"/>
  <c r="G71" i="2"/>
  <c r="H71" i="2"/>
  <c r="U71" i="2" s="1"/>
  <c r="I71" i="2"/>
  <c r="J71" i="2"/>
  <c r="K71" i="2"/>
  <c r="L71" i="2"/>
  <c r="M71" i="2"/>
  <c r="N71" i="2"/>
  <c r="O71" i="2"/>
  <c r="Q71" i="2"/>
  <c r="R71" i="2"/>
  <c r="S71" i="2"/>
  <c r="T71" i="2"/>
  <c r="B72" i="2"/>
  <c r="C72" i="2"/>
  <c r="D72" i="2"/>
  <c r="E72" i="2"/>
  <c r="F72" i="2"/>
  <c r="G72" i="2"/>
  <c r="H72" i="2"/>
  <c r="U72" i="2" s="1"/>
  <c r="I72" i="2"/>
  <c r="J72" i="2"/>
  <c r="K72" i="2"/>
  <c r="L72" i="2"/>
  <c r="M72" i="2"/>
  <c r="N72" i="2"/>
  <c r="O72" i="2"/>
  <c r="Q72" i="2"/>
  <c r="R72" i="2"/>
  <c r="S72" i="2"/>
  <c r="T72" i="2"/>
  <c r="B73" i="2"/>
  <c r="C73" i="2"/>
  <c r="D73" i="2"/>
  <c r="E73" i="2"/>
  <c r="F73" i="2"/>
  <c r="G73" i="2"/>
  <c r="H73" i="2"/>
  <c r="U73" i="2" s="1"/>
  <c r="I73" i="2"/>
  <c r="J73" i="2"/>
  <c r="K73" i="2"/>
  <c r="L73" i="2"/>
  <c r="M73" i="2"/>
  <c r="N73" i="2"/>
  <c r="O73" i="2"/>
  <c r="Q73" i="2"/>
  <c r="R73" i="2"/>
  <c r="S73" i="2"/>
  <c r="T73" i="2"/>
  <c r="B74" i="2"/>
  <c r="C74" i="2"/>
  <c r="D74" i="2"/>
  <c r="E74" i="2"/>
  <c r="F74" i="2"/>
  <c r="G74" i="2"/>
  <c r="H74" i="2"/>
  <c r="U74" i="2" s="1"/>
  <c r="I74" i="2"/>
  <c r="J74" i="2"/>
  <c r="K74" i="2"/>
  <c r="L74" i="2"/>
  <c r="M74" i="2"/>
  <c r="N74" i="2"/>
  <c r="O74" i="2"/>
  <c r="Q74" i="2"/>
  <c r="R74" i="2"/>
  <c r="S74" i="2"/>
  <c r="T74" i="2"/>
  <c r="B75" i="2"/>
  <c r="C75" i="2"/>
  <c r="D75" i="2"/>
  <c r="E75" i="2"/>
  <c r="F75" i="2"/>
  <c r="G75" i="2"/>
  <c r="H75" i="2"/>
  <c r="U75" i="2" s="1"/>
  <c r="I75" i="2"/>
  <c r="J75" i="2"/>
  <c r="K75" i="2"/>
  <c r="L75" i="2"/>
  <c r="M75" i="2"/>
  <c r="N75" i="2"/>
  <c r="O75" i="2"/>
  <c r="Q75" i="2"/>
  <c r="R75" i="2"/>
  <c r="S75" i="2"/>
  <c r="T75" i="2"/>
  <c r="B76" i="2"/>
  <c r="C76" i="2"/>
  <c r="D76" i="2"/>
  <c r="E76" i="2"/>
  <c r="F76" i="2"/>
  <c r="G76" i="2"/>
  <c r="H76" i="2"/>
  <c r="U76" i="2" s="1"/>
  <c r="I76" i="2"/>
  <c r="J76" i="2"/>
  <c r="K76" i="2"/>
  <c r="L76" i="2"/>
  <c r="M76" i="2"/>
  <c r="N76" i="2"/>
  <c r="O76" i="2"/>
  <c r="Q76" i="2"/>
  <c r="R76" i="2"/>
  <c r="S76" i="2"/>
  <c r="T76" i="2"/>
  <c r="B77" i="2"/>
  <c r="C77" i="2"/>
  <c r="D77" i="2"/>
  <c r="E77" i="2"/>
  <c r="F77" i="2"/>
  <c r="G77" i="2"/>
  <c r="H77" i="2"/>
  <c r="U77" i="2" s="1"/>
  <c r="I77" i="2"/>
  <c r="J77" i="2"/>
  <c r="K77" i="2"/>
  <c r="L77" i="2"/>
  <c r="M77" i="2"/>
  <c r="N77" i="2"/>
  <c r="O77" i="2"/>
  <c r="Q77" i="2"/>
  <c r="R77" i="2"/>
  <c r="S77" i="2"/>
  <c r="T77" i="2"/>
  <c r="B78" i="2"/>
  <c r="C78" i="2"/>
  <c r="D78" i="2"/>
  <c r="E78" i="2"/>
  <c r="F78" i="2"/>
  <c r="G78" i="2"/>
  <c r="H78" i="2"/>
  <c r="U78" i="2" s="1"/>
  <c r="I78" i="2"/>
  <c r="J78" i="2"/>
  <c r="K78" i="2"/>
  <c r="L78" i="2"/>
  <c r="M78" i="2"/>
  <c r="N78" i="2"/>
  <c r="O78" i="2"/>
  <c r="Q78" i="2"/>
  <c r="R78" i="2"/>
  <c r="S78" i="2"/>
  <c r="T78" i="2"/>
  <c r="B79" i="2"/>
  <c r="C79" i="2"/>
  <c r="D79" i="2"/>
  <c r="E79" i="2"/>
  <c r="F79" i="2"/>
  <c r="G79" i="2"/>
  <c r="H79" i="2"/>
  <c r="U79" i="2" s="1"/>
  <c r="I79" i="2"/>
  <c r="J79" i="2"/>
  <c r="K79" i="2"/>
  <c r="L79" i="2"/>
  <c r="M79" i="2"/>
  <c r="N79" i="2"/>
  <c r="O79" i="2"/>
  <c r="Q79" i="2"/>
  <c r="R79" i="2"/>
  <c r="S79" i="2"/>
  <c r="T79" i="2"/>
  <c r="B80" i="2"/>
  <c r="C80" i="2"/>
  <c r="D80" i="2"/>
  <c r="E80" i="2"/>
  <c r="F80" i="2"/>
  <c r="G80" i="2"/>
  <c r="H80" i="2"/>
  <c r="U80" i="2" s="1"/>
  <c r="I80" i="2"/>
  <c r="J80" i="2"/>
  <c r="K80" i="2"/>
  <c r="L80" i="2"/>
  <c r="M80" i="2"/>
  <c r="N80" i="2"/>
  <c r="O80" i="2"/>
  <c r="Q80" i="2"/>
  <c r="R80" i="2"/>
  <c r="S80" i="2"/>
  <c r="T80" i="2"/>
  <c r="B81" i="2"/>
  <c r="C81" i="2"/>
  <c r="D81" i="2"/>
  <c r="E81" i="2"/>
  <c r="F81" i="2"/>
  <c r="G81" i="2"/>
  <c r="H81" i="2"/>
  <c r="U81" i="2" s="1"/>
  <c r="I81" i="2"/>
  <c r="J81" i="2"/>
  <c r="K81" i="2"/>
  <c r="L81" i="2"/>
  <c r="M81" i="2"/>
  <c r="N81" i="2"/>
  <c r="O81" i="2"/>
  <c r="Q81" i="2"/>
  <c r="R81" i="2"/>
  <c r="S81" i="2"/>
  <c r="T81" i="2"/>
  <c r="B82" i="2"/>
  <c r="C82" i="2"/>
  <c r="D82" i="2"/>
  <c r="E82" i="2"/>
  <c r="F82" i="2"/>
  <c r="G82" i="2"/>
  <c r="H82" i="2"/>
  <c r="U82" i="2" s="1"/>
  <c r="I82" i="2"/>
  <c r="J82" i="2"/>
  <c r="K82" i="2"/>
  <c r="L82" i="2"/>
  <c r="M82" i="2"/>
  <c r="N82" i="2"/>
  <c r="O82" i="2"/>
  <c r="Q82" i="2"/>
  <c r="R82" i="2"/>
  <c r="S82" i="2"/>
  <c r="T82" i="2"/>
  <c r="B83" i="2"/>
  <c r="C83" i="2"/>
  <c r="D83" i="2"/>
  <c r="E83" i="2"/>
  <c r="F83" i="2"/>
  <c r="G83" i="2"/>
  <c r="H83" i="2"/>
  <c r="U83" i="2" s="1"/>
  <c r="I83" i="2"/>
  <c r="J83" i="2"/>
  <c r="K83" i="2"/>
  <c r="L83" i="2"/>
  <c r="M83" i="2"/>
  <c r="N83" i="2"/>
  <c r="O83" i="2"/>
  <c r="Q83" i="2"/>
  <c r="R83" i="2"/>
  <c r="S83" i="2"/>
  <c r="T83" i="2"/>
  <c r="B84" i="2"/>
  <c r="C84" i="2"/>
  <c r="D84" i="2"/>
  <c r="E84" i="2"/>
  <c r="F84" i="2"/>
  <c r="G84" i="2"/>
  <c r="H84" i="2"/>
  <c r="U84" i="2" s="1"/>
  <c r="I84" i="2"/>
  <c r="J84" i="2"/>
  <c r="K84" i="2"/>
  <c r="L84" i="2"/>
  <c r="M84" i="2"/>
  <c r="N84" i="2"/>
  <c r="O84" i="2"/>
  <c r="Q84" i="2"/>
  <c r="R84" i="2"/>
  <c r="S84" i="2"/>
  <c r="T84" i="2"/>
  <c r="B85" i="2"/>
  <c r="C85" i="2"/>
  <c r="D85" i="2"/>
  <c r="E85" i="2"/>
  <c r="F85" i="2"/>
  <c r="G85" i="2"/>
  <c r="H85" i="2"/>
  <c r="U85" i="2" s="1"/>
  <c r="I85" i="2"/>
  <c r="J85" i="2"/>
  <c r="K85" i="2"/>
  <c r="L85" i="2"/>
  <c r="M85" i="2"/>
  <c r="N85" i="2"/>
  <c r="O85" i="2"/>
  <c r="Q85" i="2"/>
  <c r="R85" i="2"/>
  <c r="S85" i="2"/>
  <c r="T85" i="2"/>
  <c r="B86" i="2"/>
  <c r="C86" i="2"/>
  <c r="D86" i="2"/>
  <c r="E86" i="2"/>
  <c r="F86" i="2"/>
  <c r="G86" i="2"/>
  <c r="H86" i="2"/>
  <c r="U86" i="2" s="1"/>
  <c r="I86" i="2"/>
  <c r="J86" i="2"/>
  <c r="K86" i="2"/>
  <c r="L86" i="2"/>
  <c r="M86" i="2"/>
  <c r="N86" i="2"/>
  <c r="O86" i="2"/>
  <c r="Q86" i="2"/>
  <c r="R86" i="2"/>
  <c r="S86" i="2"/>
  <c r="T86" i="2"/>
  <c r="B87" i="2"/>
  <c r="C87" i="2"/>
  <c r="D87" i="2"/>
  <c r="E87" i="2"/>
  <c r="F87" i="2"/>
  <c r="G87" i="2"/>
  <c r="H87" i="2"/>
  <c r="U87" i="2" s="1"/>
  <c r="I87" i="2"/>
  <c r="J87" i="2"/>
  <c r="K87" i="2"/>
  <c r="L87" i="2"/>
  <c r="M87" i="2"/>
  <c r="N87" i="2"/>
  <c r="O87" i="2"/>
  <c r="Q87" i="2"/>
  <c r="R87" i="2"/>
  <c r="S87" i="2"/>
  <c r="T87" i="2"/>
  <c r="B88" i="2"/>
  <c r="C88" i="2"/>
  <c r="D88" i="2"/>
  <c r="E88" i="2"/>
  <c r="F88" i="2"/>
  <c r="G88" i="2"/>
  <c r="H88" i="2"/>
  <c r="U88" i="2" s="1"/>
  <c r="I88" i="2"/>
  <c r="J88" i="2"/>
  <c r="K88" i="2"/>
  <c r="L88" i="2"/>
  <c r="M88" i="2"/>
  <c r="N88" i="2"/>
  <c r="O88" i="2"/>
  <c r="Q88" i="2"/>
  <c r="R88" i="2"/>
  <c r="S88" i="2"/>
  <c r="T88" i="2"/>
  <c r="B89" i="2"/>
  <c r="C89" i="2"/>
  <c r="D89" i="2"/>
  <c r="E89" i="2"/>
  <c r="F89" i="2"/>
  <c r="G89" i="2"/>
  <c r="H89" i="2"/>
  <c r="U89" i="2" s="1"/>
  <c r="I89" i="2"/>
  <c r="J89" i="2"/>
  <c r="K89" i="2"/>
  <c r="L89" i="2"/>
  <c r="M89" i="2"/>
  <c r="N89" i="2"/>
  <c r="O89" i="2"/>
  <c r="Q89" i="2"/>
  <c r="R89" i="2"/>
  <c r="S89" i="2"/>
  <c r="T89" i="2"/>
  <c r="B90" i="2"/>
  <c r="C90" i="2"/>
  <c r="D90" i="2"/>
  <c r="E90" i="2"/>
  <c r="F90" i="2"/>
  <c r="G90" i="2"/>
  <c r="H90" i="2"/>
  <c r="U90" i="2" s="1"/>
  <c r="I90" i="2"/>
  <c r="J90" i="2"/>
  <c r="K90" i="2"/>
  <c r="L90" i="2"/>
  <c r="M90" i="2"/>
  <c r="N90" i="2"/>
  <c r="O90" i="2"/>
  <c r="Q90" i="2"/>
  <c r="R90" i="2"/>
  <c r="S90" i="2"/>
  <c r="T90" i="2"/>
  <c r="B91" i="2"/>
  <c r="C91" i="2"/>
  <c r="D91" i="2"/>
  <c r="E91" i="2"/>
  <c r="F91" i="2"/>
  <c r="G91" i="2"/>
  <c r="H91" i="2"/>
  <c r="U91" i="2" s="1"/>
  <c r="I91" i="2"/>
  <c r="J91" i="2"/>
  <c r="K91" i="2"/>
  <c r="L91" i="2"/>
  <c r="M91" i="2"/>
  <c r="N91" i="2"/>
  <c r="O91" i="2"/>
  <c r="Q91" i="2"/>
  <c r="R91" i="2"/>
  <c r="S91" i="2"/>
  <c r="T91" i="2"/>
  <c r="B92" i="2"/>
  <c r="C92" i="2"/>
  <c r="D92" i="2"/>
  <c r="E92" i="2"/>
  <c r="F92" i="2"/>
  <c r="G92" i="2"/>
  <c r="H92" i="2"/>
  <c r="U92" i="2" s="1"/>
  <c r="I92" i="2"/>
  <c r="J92" i="2"/>
  <c r="K92" i="2"/>
  <c r="L92" i="2"/>
  <c r="M92" i="2"/>
  <c r="N92" i="2"/>
  <c r="O92" i="2"/>
  <c r="Q92" i="2"/>
  <c r="R92" i="2"/>
  <c r="S92" i="2"/>
  <c r="T92" i="2"/>
  <c r="B93" i="2"/>
  <c r="C93" i="2"/>
  <c r="D93" i="2"/>
  <c r="E93" i="2"/>
  <c r="F93" i="2"/>
  <c r="G93" i="2"/>
  <c r="H93" i="2"/>
  <c r="U93" i="2" s="1"/>
  <c r="I93" i="2"/>
  <c r="J93" i="2"/>
  <c r="K93" i="2"/>
  <c r="L93" i="2"/>
  <c r="M93" i="2"/>
  <c r="N93" i="2"/>
  <c r="O93" i="2"/>
  <c r="Q93" i="2"/>
  <c r="R93" i="2"/>
  <c r="S93" i="2"/>
  <c r="T93" i="2"/>
  <c r="B94" i="2"/>
  <c r="C94" i="2"/>
  <c r="D94" i="2"/>
  <c r="E94" i="2"/>
  <c r="F94" i="2"/>
  <c r="G94" i="2"/>
  <c r="H94" i="2"/>
  <c r="U94" i="2" s="1"/>
  <c r="I94" i="2"/>
  <c r="J94" i="2"/>
  <c r="K94" i="2"/>
  <c r="L94" i="2"/>
  <c r="M94" i="2"/>
  <c r="N94" i="2"/>
  <c r="O94" i="2"/>
  <c r="Q94" i="2"/>
  <c r="R94" i="2"/>
  <c r="S94" i="2"/>
  <c r="T94" i="2"/>
  <c r="B95" i="2"/>
  <c r="C95" i="2"/>
  <c r="D95" i="2"/>
  <c r="E95" i="2"/>
  <c r="F95" i="2"/>
  <c r="G95" i="2"/>
  <c r="H95" i="2"/>
  <c r="U95" i="2" s="1"/>
  <c r="I95" i="2"/>
  <c r="J95" i="2"/>
  <c r="K95" i="2"/>
  <c r="L95" i="2"/>
  <c r="M95" i="2"/>
  <c r="N95" i="2"/>
  <c r="O95" i="2"/>
  <c r="Q95" i="2"/>
  <c r="R95" i="2"/>
  <c r="S95" i="2"/>
  <c r="T95" i="2"/>
  <c r="B96" i="2"/>
  <c r="C96" i="2"/>
  <c r="D96" i="2"/>
  <c r="E96" i="2"/>
  <c r="F96" i="2"/>
  <c r="G96" i="2"/>
  <c r="H96" i="2"/>
  <c r="U96" i="2" s="1"/>
  <c r="I96" i="2"/>
  <c r="J96" i="2"/>
  <c r="K96" i="2"/>
  <c r="L96" i="2"/>
  <c r="M96" i="2"/>
  <c r="N96" i="2"/>
  <c r="O96" i="2"/>
  <c r="Q96" i="2"/>
  <c r="R96" i="2"/>
  <c r="S96" i="2"/>
  <c r="T96" i="2"/>
  <c r="B97" i="2"/>
  <c r="C97" i="2"/>
  <c r="D97" i="2"/>
  <c r="E97" i="2"/>
  <c r="F97" i="2"/>
  <c r="G97" i="2"/>
  <c r="H97" i="2"/>
  <c r="U97" i="2" s="1"/>
  <c r="I97" i="2"/>
  <c r="J97" i="2"/>
  <c r="K97" i="2"/>
  <c r="L97" i="2"/>
  <c r="M97" i="2"/>
  <c r="N97" i="2"/>
  <c r="O97" i="2"/>
  <c r="Q97" i="2"/>
  <c r="R97" i="2"/>
  <c r="S97" i="2"/>
  <c r="T97" i="2"/>
  <c r="B98" i="2"/>
  <c r="C98" i="2"/>
  <c r="D98" i="2"/>
  <c r="E98" i="2"/>
  <c r="F98" i="2"/>
  <c r="G98" i="2"/>
  <c r="H98" i="2"/>
  <c r="U98" i="2" s="1"/>
  <c r="I98" i="2"/>
  <c r="J98" i="2"/>
  <c r="K98" i="2"/>
  <c r="L98" i="2"/>
  <c r="M98" i="2"/>
  <c r="N98" i="2"/>
  <c r="O98" i="2"/>
  <c r="Q98" i="2"/>
  <c r="R98" i="2"/>
  <c r="S98" i="2"/>
  <c r="T98" i="2"/>
  <c r="B99" i="2"/>
  <c r="C99" i="2"/>
  <c r="D99" i="2"/>
  <c r="E99" i="2"/>
  <c r="F99" i="2"/>
  <c r="G99" i="2"/>
  <c r="H99" i="2"/>
  <c r="U99" i="2" s="1"/>
  <c r="I99" i="2"/>
  <c r="J99" i="2"/>
  <c r="K99" i="2"/>
  <c r="L99" i="2"/>
  <c r="M99" i="2"/>
  <c r="N99" i="2"/>
  <c r="O99" i="2"/>
  <c r="Q99" i="2"/>
  <c r="R99" i="2"/>
  <c r="S99" i="2"/>
  <c r="T99" i="2"/>
  <c r="B100" i="2"/>
  <c r="C100" i="2"/>
  <c r="D100" i="2"/>
  <c r="E100" i="2"/>
  <c r="F100" i="2"/>
  <c r="G100" i="2"/>
  <c r="H100" i="2"/>
  <c r="U100" i="2" s="1"/>
  <c r="I100" i="2"/>
  <c r="J100" i="2"/>
  <c r="K100" i="2"/>
  <c r="L100" i="2"/>
  <c r="M100" i="2"/>
  <c r="N100" i="2"/>
  <c r="O100" i="2"/>
  <c r="Q100" i="2"/>
  <c r="R100" i="2"/>
  <c r="S100" i="2"/>
  <c r="T100" i="2"/>
  <c r="B101" i="2"/>
  <c r="C101" i="2"/>
  <c r="D101" i="2"/>
  <c r="E101" i="2"/>
  <c r="F101" i="2"/>
  <c r="G101" i="2"/>
  <c r="H101" i="2"/>
  <c r="U101" i="2" s="1"/>
  <c r="I101" i="2"/>
  <c r="J101" i="2"/>
  <c r="K101" i="2"/>
  <c r="L101" i="2"/>
  <c r="M101" i="2"/>
  <c r="N101" i="2"/>
  <c r="O101" i="2"/>
  <c r="Q101" i="2"/>
  <c r="R101" i="2"/>
  <c r="S101" i="2"/>
  <c r="T101" i="2"/>
  <c r="B102" i="2"/>
  <c r="C102" i="2"/>
  <c r="D102" i="2"/>
  <c r="E102" i="2"/>
  <c r="F102" i="2"/>
  <c r="G102" i="2"/>
  <c r="H102" i="2"/>
  <c r="U102" i="2" s="1"/>
  <c r="I102" i="2"/>
  <c r="J102" i="2"/>
  <c r="K102" i="2"/>
  <c r="L102" i="2"/>
  <c r="M102" i="2"/>
  <c r="N102" i="2"/>
  <c r="O102" i="2"/>
  <c r="Q102" i="2"/>
  <c r="R102" i="2"/>
  <c r="S102" i="2"/>
  <c r="T102" i="2"/>
  <c r="B103" i="2"/>
  <c r="C103" i="2"/>
  <c r="D103" i="2"/>
  <c r="E103" i="2"/>
  <c r="F103" i="2"/>
  <c r="G103" i="2"/>
  <c r="H103" i="2"/>
  <c r="U103" i="2" s="1"/>
  <c r="I103" i="2"/>
  <c r="J103" i="2"/>
  <c r="K103" i="2"/>
  <c r="L103" i="2"/>
  <c r="M103" i="2"/>
  <c r="N103" i="2"/>
  <c r="O103" i="2"/>
  <c r="Q103" i="2"/>
  <c r="R103" i="2"/>
  <c r="S103" i="2"/>
  <c r="T103" i="2"/>
  <c r="B104" i="2"/>
  <c r="C104" i="2"/>
  <c r="D104" i="2"/>
  <c r="E104" i="2"/>
  <c r="F104" i="2"/>
  <c r="G104" i="2"/>
  <c r="H104" i="2"/>
  <c r="U104" i="2" s="1"/>
  <c r="I104" i="2"/>
  <c r="J104" i="2"/>
  <c r="K104" i="2"/>
  <c r="L104" i="2"/>
  <c r="M104" i="2"/>
  <c r="N104" i="2"/>
  <c r="O104" i="2"/>
  <c r="Q104" i="2"/>
  <c r="R104" i="2"/>
  <c r="S104" i="2"/>
  <c r="T104" i="2"/>
  <c r="B105" i="2"/>
  <c r="C105" i="2"/>
  <c r="D105" i="2"/>
  <c r="E105" i="2"/>
  <c r="F105" i="2"/>
  <c r="G105" i="2"/>
  <c r="H105" i="2"/>
  <c r="U105" i="2" s="1"/>
  <c r="I105" i="2"/>
  <c r="J105" i="2"/>
  <c r="K105" i="2"/>
  <c r="L105" i="2"/>
  <c r="M105" i="2"/>
  <c r="N105" i="2"/>
  <c r="O105" i="2"/>
  <c r="Q105" i="2"/>
  <c r="R105" i="2"/>
  <c r="S105" i="2"/>
  <c r="T105" i="2"/>
  <c r="B106" i="2"/>
  <c r="C106" i="2"/>
  <c r="D106" i="2"/>
  <c r="E106" i="2"/>
  <c r="F106" i="2"/>
  <c r="G106" i="2"/>
  <c r="H106" i="2"/>
  <c r="U106" i="2" s="1"/>
  <c r="I106" i="2"/>
  <c r="J106" i="2"/>
  <c r="K106" i="2"/>
  <c r="L106" i="2"/>
  <c r="M106" i="2"/>
  <c r="N106" i="2"/>
  <c r="O106" i="2"/>
  <c r="Q106" i="2"/>
  <c r="R106" i="2"/>
  <c r="S106" i="2"/>
  <c r="T106" i="2"/>
  <c r="B107" i="2"/>
  <c r="C107" i="2"/>
  <c r="D107" i="2"/>
  <c r="E107" i="2"/>
  <c r="F107" i="2"/>
  <c r="G107" i="2"/>
  <c r="H107" i="2"/>
  <c r="U107" i="2" s="1"/>
  <c r="I107" i="2"/>
  <c r="J107" i="2"/>
  <c r="K107" i="2"/>
  <c r="L107" i="2"/>
  <c r="M107" i="2"/>
  <c r="N107" i="2"/>
  <c r="O107" i="2"/>
  <c r="Q107" i="2"/>
  <c r="R107" i="2"/>
  <c r="S107" i="2"/>
  <c r="T107" i="2"/>
  <c r="B108" i="2"/>
  <c r="C108" i="2"/>
  <c r="D108" i="2"/>
  <c r="E108" i="2"/>
  <c r="F108" i="2"/>
  <c r="G108" i="2"/>
  <c r="H108" i="2"/>
  <c r="U108" i="2" s="1"/>
  <c r="I108" i="2"/>
  <c r="J108" i="2"/>
  <c r="K108" i="2"/>
  <c r="L108" i="2"/>
  <c r="M108" i="2"/>
  <c r="N108" i="2"/>
  <c r="O108" i="2"/>
  <c r="Q108" i="2"/>
  <c r="R108" i="2"/>
  <c r="S108" i="2"/>
  <c r="T108" i="2"/>
  <c r="B109" i="2"/>
  <c r="C109" i="2"/>
  <c r="D109" i="2"/>
  <c r="E109" i="2"/>
  <c r="F109" i="2"/>
  <c r="G109" i="2"/>
  <c r="H109" i="2"/>
  <c r="U109" i="2" s="1"/>
  <c r="I109" i="2"/>
  <c r="J109" i="2"/>
  <c r="K109" i="2"/>
  <c r="L109" i="2"/>
  <c r="M109" i="2"/>
  <c r="N109" i="2"/>
  <c r="O109" i="2"/>
  <c r="Q109" i="2"/>
  <c r="R109" i="2"/>
  <c r="S109" i="2"/>
  <c r="T109" i="2"/>
  <c r="B110" i="2"/>
  <c r="C110" i="2"/>
  <c r="D110" i="2"/>
  <c r="E110" i="2"/>
  <c r="F110" i="2"/>
  <c r="G110" i="2"/>
  <c r="H110" i="2"/>
  <c r="U110" i="2" s="1"/>
  <c r="I110" i="2"/>
  <c r="J110" i="2"/>
  <c r="K110" i="2"/>
  <c r="L110" i="2"/>
  <c r="M110" i="2"/>
  <c r="N110" i="2"/>
  <c r="O110" i="2"/>
  <c r="Q110" i="2"/>
  <c r="R110" i="2"/>
  <c r="S110" i="2"/>
  <c r="T110" i="2"/>
  <c r="B111" i="2"/>
  <c r="C111" i="2"/>
  <c r="D111" i="2"/>
  <c r="E111" i="2"/>
  <c r="F111" i="2"/>
  <c r="G111" i="2"/>
  <c r="H111" i="2"/>
  <c r="U111" i="2" s="1"/>
  <c r="I111" i="2"/>
  <c r="J111" i="2"/>
  <c r="K111" i="2"/>
  <c r="L111" i="2"/>
  <c r="M111" i="2"/>
  <c r="N111" i="2"/>
  <c r="O111" i="2"/>
  <c r="Q111" i="2"/>
  <c r="R111" i="2"/>
  <c r="S111" i="2"/>
  <c r="T111" i="2"/>
  <c r="B112" i="2"/>
  <c r="C112" i="2"/>
  <c r="D112" i="2"/>
  <c r="E112" i="2"/>
  <c r="F112" i="2"/>
  <c r="G112" i="2"/>
  <c r="H112" i="2"/>
  <c r="U112" i="2" s="1"/>
  <c r="I112" i="2"/>
  <c r="J112" i="2"/>
  <c r="K112" i="2"/>
  <c r="L112" i="2"/>
  <c r="M112" i="2"/>
  <c r="N112" i="2"/>
  <c r="O112" i="2"/>
  <c r="Q112" i="2"/>
  <c r="R112" i="2"/>
  <c r="S112" i="2"/>
  <c r="T112" i="2"/>
  <c r="B113" i="2"/>
  <c r="C113" i="2"/>
  <c r="D113" i="2"/>
  <c r="E113" i="2"/>
  <c r="F113" i="2"/>
  <c r="G113" i="2"/>
  <c r="H113" i="2"/>
  <c r="U113" i="2" s="1"/>
  <c r="I113" i="2"/>
  <c r="J113" i="2"/>
  <c r="K113" i="2"/>
  <c r="L113" i="2"/>
  <c r="M113" i="2"/>
  <c r="N113" i="2"/>
  <c r="O113" i="2"/>
  <c r="Q113" i="2"/>
  <c r="R113" i="2"/>
  <c r="S113" i="2"/>
  <c r="T113" i="2"/>
  <c r="B114" i="2"/>
  <c r="C114" i="2"/>
  <c r="D114" i="2"/>
  <c r="E114" i="2"/>
  <c r="F114" i="2"/>
  <c r="G114" i="2"/>
  <c r="H114" i="2"/>
  <c r="U114" i="2" s="1"/>
  <c r="I114" i="2"/>
  <c r="J114" i="2"/>
  <c r="K114" i="2"/>
  <c r="L114" i="2"/>
  <c r="M114" i="2"/>
  <c r="N114" i="2"/>
  <c r="O114" i="2"/>
  <c r="Q114" i="2"/>
  <c r="R114" i="2"/>
  <c r="S114" i="2"/>
  <c r="T114" i="2"/>
  <c r="B115" i="2"/>
  <c r="C115" i="2"/>
  <c r="D115" i="2"/>
  <c r="E115" i="2"/>
  <c r="F115" i="2"/>
  <c r="G115" i="2"/>
  <c r="H115" i="2"/>
  <c r="U115" i="2" s="1"/>
  <c r="I115" i="2"/>
  <c r="J115" i="2"/>
  <c r="K115" i="2"/>
  <c r="L115" i="2"/>
  <c r="M115" i="2"/>
  <c r="N115" i="2"/>
  <c r="O115" i="2"/>
  <c r="Q115" i="2"/>
  <c r="R115" i="2"/>
  <c r="S115" i="2"/>
  <c r="T115" i="2"/>
  <c r="B116" i="2"/>
  <c r="C116" i="2"/>
  <c r="D116" i="2"/>
  <c r="E116" i="2"/>
  <c r="F116" i="2"/>
  <c r="G116" i="2"/>
  <c r="H116" i="2"/>
  <c r="U116" i="2" s="1"/>
  <c r="I116" i="2"/>
  <c r="J116" i="2"/>
  <c r="K116" i="2"/>
  <c r="L116" i="2"/>
  <c r="M116" i="2"/>
  <c r="N116" i="2"/>
  <c r="O116" i="2"/>
  <c r="Q116" i="2"/>
  <c r="R116" i="2"/>
  <c r="S116" i="2"/>
  <c r="T116" i="2"/>
  <c r="B117" i="2"/>
  <c r="C117" i="2"/>
  <c r="D117" i="2"/>
  <c r="E117" i="2"/>
  <c r="F117" i="2"/>
  <c r="G117" i="2"/>
  <c r="H117" i="2"/>
  <c r="U117" i="2" s="1"/>
  <c r="I117" i="2"/>
  <c r="J117" i="2"/>
  <c r="K117" i="2"/>
  <c r="L117" i="2"/>
  <c r="M117" i="2"/>
  <c r="N117" i="2"/>
  <c r="O117" i="2"/>
  <c r="Q117" i="2"/>
  <c r="R117" i="2"/>
  <c r="S117" i="2"/>
  <c r="T117" i="2"/>
  <c r="B118" i="2"/>
  <c r="C118" i="2"/>
  <c r="D118" i="2"/>
  <c r="E118" i="2"/>
  <c r="F118" i="2"/>
  <c r="G118" i="2"/>
  <c r="H118" i="2"/>
  <c r="U118" i="2" s="1"/>
  <c r="I118" i="2"/>
  <c r="J118" i="2"/>
  <c r="K118" i="2"/>
  <c r="L118" i="2"/>
  <c r="M118" i="2"/>
  <c r="N118" i="2"/>
  <c r="O118" i="2"/>
  <c r="Q118" i="2"/>
  <c r="R118" i="2"/>
  <c r="S118" i="2"/>
  <c r="T118" i="2"/>
  <c r="B119" i="2"/>
  <c r="C119" i="2"/>
  <c r="D119" i="2"/>
  <c r="E119" i="2"/>
  <c r="F119" i="2"/>
  <c r="G119" i="2"/>
  <c r="H119" i="2"/>
  <c r="U119" i="2" s="1"/>
  <c r="I119" i="2"/>
  <c r="J119" i="2"/>
  <c r="K119" i="2"/>
  <c r="L119" i="2"/>
  <c r="M119" i="2"/>
  <c r="N119" i="2"/>
  <c r="O119" i="2"/>
  <c r="Q119" i="2"/>
  <c r="R119" i="2"/>
  <c r="S119" i="2"/>
  <c r="T119" i="2"/>
  <c r="B120" i="2"/>
  <c r="C120" i="2"/>
  <c r="D120" i="2"/>
  <c r="E120" i="2"/>
  <c r="F120" i="2"/>
  <c r="G120" i="2"/>
  <c r="H120" i="2"/>
  <c r="U120" i="2" s="1"/>
  <c r="I120" i="2"/>
  <c r="J120" i="2"/>
  <c r="K120" i="2"/>
  <c r="L120" i="2"/>
  <c r="M120" i="2"/>
  <c r="N120" i="2"/>
  <c r="O120" i="2"/>
  <c r="Q120" i="2"/>
  <c r="R120" i="2"/>
  <c r="S120" i="2"/>
  <c r="T120" i="2"/>
  <c r="B121" i="2"/>
  <c r="C121" i="2"/>
  <c r="D121" i="2"/>
  <c r="E121" i="2"/>
  <c r="F121" i="2"/>
  <c r="G121" i="2"/>
  <c r="H121" i="2"/>
  <c r="U121" i="2" s="1"/>
  <c r="I121" i="2"/>
  <c r="J121" i="2"/>
  <c r="K121" i="2"/>
  <c r="L121" i="2"/>
  <c r="M121" i="2"/>
  <c r="N121" i="2"/>
  <c r="O121" i="2"/>
  <c r="Q121" i="2"/>
  <c r="R121" i="2"/>
  <c r="S121" i="2"/>
  <c r="T121" i="2"/>
  <c r="B122" i="2"/>
  <c r="C122" i="2"/>
  <c r="D122" i="2"/>
  <c r="E122" i="2"/>
  <c r="F122" i="2"/>
  <c r="G122" i="2"/>
  <c r="H122" i="2"/>
  <c r="U122" i="2" s="1"/>
  <c r="I122" i="2"/>
  <c r="J122" i="2"/>
  <c r="K122" i="2"/>
  <c r="L122" i="2"/>
  <c r="M122" i="2"/>
  <c r="N122" i="2"/>
  <c r="O122" i="2"/>
  <c r="Q122" i="2"/>
  <c r="R122" i="2"/>
  <c r="S122" i="2"/>
  <c r="T122" i="2"/>
  <c r="B123" i="2"/>
  <c r="C123" i="2"/>
  <c r="D123" i="2"/>
  <c r="E123" i="2"/>
  <c r="F123" i="2"/>
  <c r="G123" i="2"/>
  <c r="H123" i="2"/>
  <c r="U123" i="2" s="1"/>
  <c r="I123" i="2"/>
  <c r="J123" i="2"/>
  <c r="K123" i="2"/>
  <c r="L123" i="2"/>
  <c r="M123" i="2"/>
  <c r="N123" i="2"/>
  <c r="O123" i="2"/>
  <c r="Q123" i="2"/>
  <c r="R123" i="2"/>
  <c r="S123" i="2"/>
  <c r="T123" i="2"/>
  <c r="B124" i="2"/>
  <c r="C124" i="2"/>
  <c r="D124" i="2"/>
  <c r="E124" i="2"/>
  <c r="F124" i="2"/>
  <c r="G124" i="2"/>
  <c r="H124" i="2"/>
  <c r="U124" i="2" s="1"/>
  <c r="I124" i="2"/>
  <c r="J124" i="2"/>
  <c r="K124" i="2"/>
  <c r="L124" i="2"/>
  <c r="M124" i="2"/>
  <c r="N124" i="2"/>
  <c r="O124" i="2"/>
  <c r="Q124" i="2"/>
  <c r="R124" i="2"/>
  <c r="S124" i="2"/>
  <c r="T124" i="2"/>
  <c r="B125" i="2"/>
  <c r="C125" i="2"/>
  <c r="D125" i="2"/>
  <c r="E125" i="2"/>
  <c r="F125" i="2"/>
  <c r="G125" i="2"/>
  <c r="H125" i="2"/>
  <c r="U125" i="2" s="1"/>
  <c r="I125" i="2"/>
  <c r="J125" i="2"/>
  <c r="K125" i="2"/>
  <c r="L125" i="2"/>
  <c r="M125" i="2"/>
  <c r="N125" i="2"/>
  <c r="O125" i="2"/>
  <c r="Q125" i="2"/>
  <c r="R125" i="2"/>
  <c r="S125" i="2"/>
  <c r="T125" i="2"/>
  <c r="B126" i="2"/>
  <c r="C126" i="2"/>
  <c r="D126" i="2"/>
  <c r="E126" i="2"/>
  <c r="F126" i="2"/>
  <c r="G126" i="2"/>
  <c r="H126" i="2"/>
  <c r="U126" i="2" s="1"/>
  <c r="I126" i="2"/>
  <c r="J126" i="2"/>
  <c r="K126" i="2"/>
  <c r="L126" i="2"/>
  <c r="M126" i="2"/>
  <c r="N126" i="2"/>
  <c r="O126" i="2"/>
  <c r="Q126" i="2"/>
  <c r="R126" i="2"/>
  <c r="S126" i="2"/>
  <c r="T126" i="2"/>
  <c r="B127" i="2"/>
  <c r="C127" i="2"/>
  <c r="D127" i="2"/>
  <c r="E127" i="2"/>
  <c r="F127" i="2"/>
  <c r="G127" i="2"/>
  <c r="H127" i="2"/>
  <c r="U127" i="2" s="1"/>
  <c r="I127" i="2"/>
  <c r="J127" i="2"/>
  <c r="K127" i="2"/>
  <c r="L127" i="2"/>
  <c r="M127" i="2"/>
  <c r="N127" i="2"/>
  <c r="O127" i="2"/>
  <c r="Q127" i="2"/>
  <c r="R127" i="2"/>
  <c r="S127" i="2"/>
  <c r="T127" i="2"/>
  <c r="B128" i="2"/>
  <c r="C128" i="2"/>
  <c r="D128" i="2"/>
  <c r="E128" i="2"/>
  <c r="F128" i="2"/>
  <c r="G128" i="2"/>
  <c r="H128" i="2"/>
  <c r="U128" i="2" s="1"/>
  <c r="I128" i="2"/>
  <c r="J128" i="2"/>
  <c r="K128" i="2"/>
  <c r="L128" i="2"/>
  <c r="M128" i="2"/>
  <c r="N128" i="2"/>
  <c r="O128" i="2"/>
  <c r="Q128" i="2"/>
  <c r="R128" i="2"/>
  <c r="S128" i="2"/>
  <c r="T128" i="2"/>
  <c r="B129" i="2"/>
  <c r="C129" i="2"/>
  <c r="D129" i="2"/>
  <c r="E129" i="2"/>
  <c r="F129" i="2"/>
  <c r="G129" i="2"/>
  <c r="H129" i="2"/>
  <c r="U129" i="2" s="1"/>
  <c r="I129" i="2"/>
  <c r="J129" i="2"/>
  <c r="K129" i="2"/>
  <c r="L129" i="2"/>
  <c r="M129" i="2"/>
  <c r="N129" i="2"/>
  <c r="O129" i="2"/>
  <c r="Q129" i="2"/>
  <c r="R129" i="2"/>
  <c r="S129" i="2"/>
  <c r="T129" i="2"/>
  <c r="B130" i="2"/>
  <c r="C130" i="2"/>
  <c r="D130" i="2"/>
  <c r="E130" i="2"/>
  <c r="F130" i="2"/>
  <c r="G130" i="2"/>
  <c r="H130" i="2"/>
  <c r="U130" i="2" s="1"/>
  <c r="I130" i="2"/>
  <c r="J130" i="2"/>
  <c r="K130" i="2"/>
  <c r="L130" i="2"/>
  <c r="M130" i="2"/>
  <c r="N130" i="2"/>
  <c r="O130" i="2"/>
  <c r="Q130" i="2"/>
  <c r="R130" i="2"/>
  <c r="S130" i="2"/>
  <c r="T130" i="2"/>
  <c r="B131" i="2"/>
  <c r="C131" i="2"/>
  <c r="D131" i="2"/>
  <c r="E131" i="2"/>
  <c r="F131" i="2"/>
  <c r="G131" i="2"/>
  <c r="H131" i="2"/>
  <c r="U131" i="2" s="1"/>
  <c r="I131" i="2"/>
  <c r="J131" i="2"/>
  <c r="K131" i="2"/>
  <c r="L131" i="2"/>
  <c r="M131" i="2"/>
  <c r="N131" i="2"/>
  <c r="O131" i="2"/>
  <c r="Q131" i="2"/>
  <c r="R131" i="2"/>
  <c r="S131" i="2"/>
  <c r="T131" i="2"/>
  <c r="B132" i="2"/>
  <c r="C132" i="2"/>
  <c r="D132" i="2"/>
  <c r="E132" i="2"/>
  <c r="F132" i="2"/>
  <c r="G132" i="2"/>
  <c r="H132" i="2"/>
  <c r="U132" i="2" s="1"/>
  <c r="I132" i="2"/>
  <c r="J132" i="2"/>
  <c r="K132" i="2"/>
  <c r="L132" i="2"/>
  <c r="M132" i="2"/>
  <c r="N132" i="2"/>
  <c r="O132" i="2"/>
  <c r="Q132" i="2"/>
  <c r="R132" i="2"/>
  <c r="S132" i="2"/>
  <c r="T132" i="2"/>
  <c r="B133" i="2"/>
  <c r="C133" i="2"/>
  <c r="D133" i="2"/>
  <c r="E133" i="2"/>
  <c r="F133" i="2"/>
  <c r="G133" i="2"/>
  <c r="H133" i="2"/>
  <c r="U133" i="2" s="1"/>
  <c r="I133" i="2"/>
  <c r="J133" i="2"/>
  <c r="K133" i="2"/>
  <c r="L133" i="2"/>
  <c r="M133" i="2"/>
  <c r="N133" i="2"/>
  <c r="O133" i="2"/>
  <c r="Q133" i="2"/>
  <c r="R133" i="2"/>
  <c r="S133" i="2"/>
  <c r="T133" i="2"/>
  <c r="B134" i="2"/>
  <c r="C134" i="2"/>
  <c r="D134" i="2"/>
  <c r="E134" i="2"/>
  <c r="F134" i="2"/>
  <c r="G134" i="2"/>
  <c r="H134" i="2"/>
  <c r="U134" i="2" s="1"/>
  <c r="I134" i="2"/>
  <c r="J134" i="2"/>
  <c r="K134" i="2"/>
  <c r="L134" i="2"/>
  <c r="M134" i="2"/>
  <c r="N134" i="2"/>
  <c r="O134" i="2"/>
  <c r="Q134" i="2"/>
  <c r="R134" i="2"/>
  <c r="S134" i="2"/>
  <c r="T134" i="2"/>
  <c r="B135" i="2"/>
  <c r="C135" i="2"/>
  <c r="D135" i="2"/>
  <c r="E135" i="2"/>
  <c r="F135" i="2"/>
  <c r="G135" i="2"/>
  <c r="H135" i="2"/>
  <c r="U135" i="2" s="1"/>
  <c r="I135" i="2"/>
  <c r="J135" i="2"/>
  <c r="K135" i="2"/>
  <c r="L135" i="2"/>
  <c r="M135" i="2"/>
  <c r="N135" i="2"/>
  <c r="O135" i="2"/>
  <c r="Q135" i="2"/>
  <c r="R135" i="2"/>
  <c r="S135" i="2"/>
  <c r="T135" i="2"/>
  <c r="B136" i="2"/>
  <c r="C136" i="2"/>
  <c r="D136" i="2"/>
  <c r="E136" i="2"/>
  <c r="F136" i="2"/>
  <c r="G136" i="2"/>
  <c r="H136" i="2"/>
  <c r="U136" i="2" s="1"/>
  <c r="I136" i="2"/>
  <c r="J136" i="2"/>
  <c r="K136" i="2"/>
  <c r="L136" i="2"/>
  <c r="M136" i="2"/>
  <c r="N136" i="2"/>
  <c r="O136" i="2"/>
  <c r="Q136" i="2"/>
  <c r="R136" i="2"/>
  <c r="S136" i="2"/>
  <c r="T136" i="2"/>
  <c r="B137" i="2"/>
  <c r="C137" i="2"/>
  <c r="D137" i="2"/>
  <c r="E137" i="2"/>
  <c r="F137" i="2"/>
  <c r="G137" i="2"/>
  <c r="H137" i="2"/>
  <c r="U137" i="2" s="1"/>
  <c r="I137" i="2"/>
  <c r="J137" i="2"/>
  <c r="K137" i="2"/>
  <c r="L137" i="2"/>
  <c r="M137" i="2"/>
  <c r="N137" i="2"/>
  <c r="O137" i="2"/>
  <c r="Q137" i="2"/>
  <c r="R137" i="2"/>
  <c r="S137" i="2"/>
  <c r="T137" i="2"/>
  <c r="B138" i="2"/>
  <c r="C138" i="2"/>
  <c r="D138" i="2"/>
  <c r="E138" i="2"/>
  <c r="F138" i="2"/>
  <c r="G138" i="2"/>
  <c r="H138" i="2"/>
  <c r="U138" i="2" s="1"/>
  <c r="I138" i="2"/>
  <c r="J138" i="2"/>
  <c r="K138" i="2"/>
  <c r="L138" i="2"/>
  <c r="M138" i="2"/>
  <c r="N138" i="2"/>
  <c r="O138" i="2"/>
  <c r="Q138" i="2"/>
  <c r="R138" i="2"/>
  <c r="S138" i="2"/>
  <c r="T138" i="2"/>
  <c r="B139" i="2"/>
  <c r="C139" i="2"/>
  <c r="D139" i="2"/>
  <c r="E139" i="2"/>
  <c r="F139" i="2"/>
  <c r="G139" i="2"/>
  <c r="H139" i="2"/>
  <c r="U139" i="2" s="1"/>
  <c r="I139" i="2"/>
  <c r="J139" i="2"/>
  <c r="K139" i="2"/>
  <c r="L139" i="2"/>
  <c r="M139" i="2"/>
  <c r="N139" i="2"/>
  <c r="O139" i="2"/>
  <c r="Q139" i="2"/>
  <c r="R139" i="2"/>
  <c r="S139" i="2"/>
  <c r="T139" i="2"/>
  <c r="B140" i="2"/>
  <c r="C140" i="2"/>
  <c r="D140" i="2"/>
  <c r="E140" i="2"/>
  <c r="F140" i="2"/>
  <c r="G140" i="2"/>
  <c r="H140" i="2"/>
  <c r="U140" i="2" s="1"/>
  <c r="I140" i="2"/>
  <c r="J140" i="2"/>
  <c r="K140" i="2"/>
  <c r="L140" i="2"/>
  <c r="M140" i="2"/>
  <c r="N140" i="2"/>
  <c r="O140" i="2"/>
  <c r="Q140" i="2"/>
  <c r="R140" i="2"/>
  <c r="S140" i="2"/>
  <c r="T140" i="2"/>
  <c r="B141" i="2"/>
  <c r="C141" i="2"/>
  <c r="D141" i="2"/>
  <c r="E141" i="2"/>
  <c r="F141" i="2"/>
  <c r="G141" i="2"/>
  <c r="H141" i="2"/>
  <c r="U141" i="2" s="1"/>
  <c r="I141" i="2"/>
  <c r="J141" i="2"/>
  <c r="K141" i="2"/>
  <c r="L141" i="2"/>
  <c r="M141" i="2"/>
  <c r="N141" i="2"/>
  <c r="O141" i="2"/>
  <c r="Q141" i="2"/>
  <c r="R141" i="2"/>
  <c r="S141" i="2"/>
  <c r="T141" i="2"/>
  <c r="B142" i="2"/>
  <c r="C142" i="2"/>
  <c r="D142" i="2"/>
  <c r="E142" i="2"/>
  <c r="F142" i="2"/>
  <c r="G142" i="2"/>
  <c r="H142" i="2"/>
  <c r="U142" i="2" s="1"/>
  <c r="I142" i="2"/>
  <c r="J142" i="2"/>
  <c r="K142" i="2"/>
  <c r="L142" i="2"/>
  <c r="M142" i="2"/>
  <c r="N142" i="2"/>
  <c r="O142" i="2"/>
  <c r="Q142" i="2"/>
  <c r="R142" i="2"/>
  <c r="S142" i="2"/>
  <c r="T142" i="2"/>
  <c r="B143" i="2"/>
  <c r="C143" i="2"/>
  <c r="D143" i="2"/>
  <c r="E143" i="2"/>
  <c r="F143" i="2"/>
  <c r="G143" i="2"/>
  <c r="H143" i="2"/>
  <c r="U143" i="2" s="1"/>
  <c r="I143" i="2"/>
  <c r="J143" i="2"/>
  <c r="K143" i="2"/>
  <c r="L143" i="2"/>
  <c r="M143" i="2"/>
  <c r="N143" i="2"/>
  <c r="O143" i="2"/>
  <c r="Q143" i="2"/>
  <c r="R143" i="2"/>
  <c r="S143" i="2"/>
  <c r="T143" i="2"/>
  <c r="B144" i="2"/>
  <c r="C144" i="2"/>
  <c r="D144" i="2"/>
  <c r="E144" i="2"/>
  <c r="F144" i="2"/>
  <c r="G144" i="2"/>
  <c r="H144" i="2"/>
  <c r="U144" i="2" s="1"/>
  <c r="I144" i="2"/>
  <c r="J144" i="2"/>
  <c r="K144" i="2"/>
  <c r="L144" i="2"/>
  <c r="M144" i="2"/>
  <c r="N144" i="2"/>
  <c r="O144" i="2"/>
  <c r="Q144" i="2"/>
  <c r="R144" i="2"/>
  <c r="S144" i="2"/>
  <c r="T144" i="2"/>
  <c r="B145" i="2"/>
  <c r="C145" i="2"/>
  <c r="D145" i="2"/>
  <c r="E145" i="2"/>
  <c r="F145" i="2"/>
  <c r="G145" i="2"/>
  <c r="H145" i="2"/>
  <c r="U145" i="2" s="1"/>
  <c r="I145" i="2"/>
  <c r="J145" i="2"/>
  <c r="K145" i="2"/>
  <c r="L145" i="2"/>
  <c r="M145" i="2"/>
  <c r="N145" i="2"/>
  <c r="O145" i="2"/>
  <c r="Q145" i="2"/>
  <c r="R145" i="2"/>
  <c r="S145" i="2"/>
  <c r="T145" i="2"/>
  <c r="B146" i="2"/>
  <c r="C146" i="2"/>
  <c r="D146" i="2"/>
  <c r="E146" i="2"/>
  <c r="F146" i="2"/>
  <c r="G146" i="2"/>
  <c r="H146" i="2"/>
  <c r="U146" i="2" s="1"/>
  <c r="I146" i="2"/>
  <c r="J146" i="2"/>
  <c r="K146" i="2"/>
  <c r="L146" i="2"/>
  <c r="M146" i="2"/>
  <c r="N146" i="2"/>
  <c r="O146" i="2"/>
  <c r="Q146" i="2"/>
  <c r="R146" i="2"/>
  <c r="S146" i="2"/>
  <c r="T146" i="2"/>
  <c r="B147" i="2"/>
  <c r="C147" i="2"/>
  <c r="D147" i="2"/>
  <c r="E147" i="2"/>
  <c r="F147" i="2"/>
  <c r="G147" i="2"/>
  <c r="H147" i="2"/>
  <c r="U147" i="2" s="1"/>
  <c r="I147" i="2"/>
  <c r="J147" i="2"/>
  <c r="K147" i="2"/>
  <c r="L147" i="2"/>
  <c r="M147" i="2"/>
  <c r="N147" i="2"/>
  <c r="O147" i="2"/>
  <c r="Q147" i="2"/>
  <c r="R147" i="2"/>
  <c r="S147" i="2"/>
  <c r="T147" i="2"/>
  <c r="B148" i="2"/>
  <c r="C148" i="2"/>
  <c r="D148" i="2"/>
  <c r="E148" i="2"/>
  <c r="F148" i="2"/>
  <c r="G148" i="2"/>
  <c r="H148" i="2"/>
  <c r="U148" i="2" s="1"/>
  <c r="I148" i="2"/>
  <c r="J148" i="2"/>
  <c r="K148" i="2"/>
  <c r="L148" i="2"/>
  <c r="M148" i="2"/>
  <c r="N148" i="2"/>
  <c r="O148" i="2"/>
  <c r="Q148" i="2"/>
  <c r="R148" i="2"/>
  <c r="S148" i="2"/>
  <c r="T148" i="2"/>
  <c r="B149" i="2"/>
  <c r="C149" i="2"/>
  <c r="D149" i="2"/>
  <c r="E149" i="2"/>
  <c r="F149" i="2"/>
  <c r="G149" i="2"/>
  <c r="H149" i="2"/>
  <c r="U149" i="2" s="1"/>
  <c r="I149" i="2"/>
  <c r="J149" i="2"/>
  <c r="K149" i="2"/>
  <c r="L149" i="2"/>
  <c r="M149" i="2"/>
  <c r="N149" i="2"/>
  <c r="O149" i="2"/>
  <c r="Q149" i="2"/>
  <c r="R149" i="2"/>
  <c r="S149" i="2"/>
  <c r="T149" i="2"/>
  <c r="B150" i="2"/>
  <c r="C150" i="2"/>
  <c r="D150" i="2"/>
  <c r="E150" i="2"/>
  <c r="F150" i="2"/>
  <c r="G150" i="2"/>
  <c r="H150" i="2"/>
  <c r="U150" i="2" s="1"/>
  <c r="I150" i="2"/>
  <c r="J150" i="2"/>
  <c r="K150" i="2"/>
  <c r="L150" i="2"/>
  <c r="M150" i="2"/>
  <c r="N150" i="2"/>
  <c r="O150" i="2"/>
  <c r="Q150" i="2"/>
  <c r="R150" i="2"/>
  <c r="S150" i="2"/>
  <c r="T150" i="2"/>
  <c r="B151" i="2"/>
  <c r="C151" i="2"/>
  <c r="D151" i="2"/>
  <c r="E151" i="2"/>
  <c r="F151" i="2"/>
  <c r="G151" i="2"/>
  <c r="H151" i="2"/>
  <c r="U151" i="2" s="1"/>
  <c r="I151" i="2"/>
  <c r="J151" i="2"/>
  <c r="K151" i="2"/>
  <c r="L151" i="2"/>
  <c r="M151" i="2"/>
  <c r="N151" i="2"/>
  <c r="O151" i="2"/>
  <c r="Q151" i="2"/>
  <c r="R151" i="2"/>
  <c r="S151" i="2"/>
  <c r="T151" i="2"/>
  <c r="B152" i="2"/>
  <c r="C152" i="2"/>
  <c r="D152" i="2"/>
  <c r="E152" i="2"/>
  <c r="F152" i="2"/>
  <c r="G152" i="2"/>
  <c r="H152" i="2"/>
  <c r="U152" i="2" s="1"/>
  <c r="I152" i="2"/>
  <c r="J152" i="2"/>
  <c r="K152" i="2"/>
  <c r="L152" i="2"/>
  <c r="M152" i="2"/>
  <c r="N152" i="2"/>
  <c r="O152" i="2"/>
  <c r="Q152" i="2"/>
  <c r="R152" i="2"/>
  <c r="S152" i="2"/>
  <c r="T152" i="2"/>
  <c r="B153" i="2"/>
  <c r="C153" i="2"/>
  <c r="D153" i="2"/>
  <c r="E153" i="2"/>
  <c r="F153" i="2"/>
  <c r="G153" i="2"/>
  <c r="H153" i="2"/>
  <c r="U153" i="2" s="1"/>
  <c r="I153" i="2"/>
  <c r="J153" i="2"/>
  <c r="K153" i="2"/>
  <c r="L153" i="2"/>
  <c r="M153" i="2"/>
  <c r="N153" i="2"/>
  <c r="O153" i="2"/>
  <c r="Q153" i="2"/>
  <c r="R153" i="2"/>
  <c r="S153" i="2"/>
  <c r="T153" i="2"/>
  <c r="B154" i="2"/>
  <c r="C154" i="2"/>
  <c r="D154" i="2"/>
  <c r="E154" i="2"/>
  <c r="F154" i="2"/>
  <c r="G154" i="2"/>
  <c r="H154" i="2"/>
  <c r="U154" i="2" s="1"/>
  <c r="I154" i="2"/>
  <c r="J154" i="2"/>
  <c r="K154" i="2"/>
  <c r="L154" i="2"/>
  <c r="M154" i="2"/>
  <c r="N154" i="2"/>
  <c r="O154" i="2"/>
  <c r="Q154" i="2"/>
  <c r="R154" i="2"/>
  <c r="S154" i="2"/>
  <c r="T154" i="2"/>
  <c r="B155" i="2"/>
  <c r="C155" i="2"/>
  <c r="D155" i="2"/>
  <c r="E155" i="2"/>
  <c r="F155" i="2"/>
  <c r="G155" i="2"/>
  <c r="H155" i="2"/>
  <c r="U155" i="2" s="1"/>
  <c r="I155" i="2"/>
  <c r="J155" i="2"/>
  <c r="K155" i="2"/>
  <c r="L155" i="2"/>
  <c r="M155" i="2"/>
  <c r="N155" i="2"/>
  <c r="O155" i="2"/>
  <c r="Q155" i="2"/>
  <c r="R155" i="2"/>
  <c r="S155" i="2"/>
  <c r="T155" i="2"/>
  <c r="B156" i="2"/>
  <c r="C156" i="2"/>
  <c r="D156" i="2"/>
  <c r="E156" i="2"/>
  <c r="F156" i="2"/>
  <c r="G156" i="2"/>
  <c r="H156" i="2"/>
  <c r="U156" i="2" s="1"/>
  <c r="I156" i="2"/>
  <c r="J156" i="2"/>
  <c r="K156" i="2"/>
  <c r="L156" i="2"/>
  <c r="M156" i="2"/>
  <c r="N156" i="2"/>
  <c r="O156" i="2"/>
  <c r="Q156" i="2"/>
  <c r="R156" i="2"/>
  <c r="S156" i="2"/>
  <c r="T156" i="2"/>
  <c r="B157" i="2"/>
  <c r="C157" i="2"/>
  <c r="D157" i="2"/>
  <c r="E157" i="2"/>
  <c r="F157" i="2"/>
  <c r="G157" i="2"/>
  <c r="H157" i="2"/>
  <c r="U157" i="2" s="1"/>
  <c r="I157" i="2"/>
  <c r="J157" i="2"/>
  <c r="K157" i="2"/>
  <c r="L157" i="2"/>
  <c r="M157" i="2"/>
  <c r="N157" i="2"/>
  <c r="O157" i="2"/>
  <c r="Q157" i="2"/>
  <c r="R157" i="2"/>
  <c r="S157" i="2"/>
  <c r="T157" i="2"/>
  <c r="B158" i="2"/>
  <c r="C158" i="2"/>
  <c r="D158" i="2"/>
  <c r="E158" i="2"/>
  <c r="F158" i="2"/>
  <c r="G158" i="2"/>
  <c r="H158" i="2"/>
  <c r="U158" i="2" s="1"/>
  <c r="I158" i="2"/>
  <c r="J158" i="2"/>
  <c r="K158" i="2"/>
  <c r="L158" i="2"/>
  <c r="M158" i="2"/>
  <c r="N158" i="2"/>
  <c r="O158" i="2"/>
  <c r="Q158" i="2"/>
  <c r="R158" i="2"/>
  <c r="S158" i="2"/>
  <c r="T158" i="2"/>
  <c r="B159" i="2"/>
  <c r="C159" i="2"/>
  <c r="D159" i="2"/>
  <c r="E159" i="2"/>
  <c r="F159" i="2"/>
  <c r="G159" i="2"/>
  <c r="H159" i="2"/>
  <c r="U159" i="2" s="1"/>
  <c r="I159" i="2"/>
  <c r="J159" i="2"/>
  <c r="K159" i="2"/>
  <c r="L159" i="2"/>
  <c r="M159" i="2"/>
  <c r="N159" i="2"/>
  <c r="O159" i="2"/>
  <c r="Q159" i="2"/>
  <c r="R159" i="2"/>
  <c r="S159" i="2"/>
  <c r="T159" i="2"/>
  <c r="B160" i="2"/>
  <c r="C160" i="2"/>
  <c r="D160" i="2"/>
  <c r="E160" i="2"/>
  <c r="F160" i="2"/>
  <c r="G160" i="2"/>
  <c r="H160" i="2"/>
  <c r="U160" i="2" s="1"/>
  <c r="I160" i="2"/>
  <c r="J160" i="2"/>
  <c r="K160" i="2"/>
  <c r="L160" i="2"/>
  <c r="M160" i="2"/>
  <c r="N160" i="2"/>
  <c r="O160" i="2"/>
  <c r="Q160" i="2"/>
  <c r="R160" i="2"/>
  <c r="S160" i="2"/>
  <c r="T160" i="2"/>
  <c r="B161" i="2"/>
  <c r="C161" i="2"/>
  <c r="D161" i="2"/>
  <c r="E161" i="2"/>
  <c r="F161" i="2"/>
  <c r="G161" i="2"/>
  <c r="H161" i="2"/>
  <c r="U161" i="2" s="1"/>
  <c r="I161" i="2"/>
  <c r="J161" i="2"/>
  <c r="K161" i="2"/>
  <c r="L161" i="2"/>
  <c r="M161" i="2"/>
  <c r="N161" i="2"/>
  <c r="O161" i="2"/>
  <c r="Q161" i="2"/>
  <c r="R161" i="2"/>
  <c r="S161" i="2"/>
  <c r="T161" i="2"/>
  <c r="B162" i="2"/>
  <c r="C162" i="2"/>
  <c r="D162" i="2"/>
  <c r="E162" i="2"/>
  <c r="F162" i="2"/>
  <c r="G162" i="2"/>
  <c r="H162" i="2"/>
  <c r="U162" i="2" s="1"/>
  <c r="I162" i="2"/>
  <c r="J162" i="2"/>
  <c r="K162" i="2"/>
  <c r="L162" i="2"/>
  <c r="M162" i="2"/>
  <c r="N162" i="2"/>
  <c r="O162" i="2"/>
  <c r="Q162" i="2"/>
  <c r="R162" i="2"/>
  <c r="S162" i="2"/>
  <c r="T162" i="2"/>
  <c r="B163" i="2"/>
  <c r="C163" i="2"/>
  <c r="D163" i="2"/>
  <c r="E163" i="2"/>
  <c r="F163" i="2"/>
  <c r="G163" i="2"/>
  <c r="H163" i="2"/>
  <c r="U163" i="2" s="1"/>
  <c r="I163" i="2"/>
  <c r="J163" i="2"/>
  <c r="K163" i="2"/>
  <c r="L163" i="2"/>
  <c r="M163" i="2"/>
  <c r="N163" i="2"/>
  <c r="O163" i="2"/>
  <c r="Q163" i="2"/>
  <c r="R163" i="2"/>
  <c r="S163" i="2"/>
  <c r="T163" i="2"/>
  <c r="B164" i="2"/>
  <c r="C164" i="2"/>
  <c r="D164" i="2"/>
  <c r="E164" i="2"/>
  <c r="F164" i="2"/>
  <c r="G164" i="2"/>
  <c r="H164" i="2"/>
  <c r="U164" i="2" s="1"/>
  <c r="I164" i="2"/>
  <c r="J164" i="2"/>
  <c r="K164" i="2"/>
  <c r="L164" i="2"/>
  <c r="M164" i="2"/>
  <c r="N164" i="2"/>
  <c r="O164" i="2"/>
  <c r="Q164" i="2"/>
  <c r="R164" i="2"/>
  <c r="S164" i="2"/>
  <c r="T164" i="2"/>
  <c r="B165" i="2"/>
  <c r="C165" i="2"/>
  <c r="D165" i="2"/>
  <c r="E165" i="2"/>
  <c r="F165" i="2"/>
  <c r="G165" i="2"/>
  <c r="H165" i="2"/>
  <c r="U165" i="2" s="1"/>
  <c r="I165" i="2"/>
  <c r="J165" i="2"/>
  <c r="K165" i="2"/>
  <c r="L165" i="2"/>
  <c r="M165" i="2"/>
  <c r="N165" i="2"/>
  <c r="O165" i="2"/>
  <c r="Q165" i="2"/>
  <c r="R165" i="2"/>
  <c r="S165" i="2"/>
  <c r="T165" i="2"/>
  <c r="B166" i="2"/>
  <c r="C166" i="2"/>
  <c r="D166" i="2"/>
  <c r="E166" i="2"/>
  <c r="F166" i="2"/>
  <c r="G166" i="2"/>
  <c r="H166" i="2"/>
  <c r="U166" i="2" s="1"/>
  <c r="I166" i="2"/>
  <c r="J166" i="2"/>
  <c r="K166" i="2"/>
  <c r="L166" i="2"/>
  <c r="M166" i="2"/>
  <c r="N166" i="2"/>
  <c r="O166" i="2"/>
  <c r="Q166" i="2"/>
  <c r="R166" i="2"/>
  <c r="S166" i="2"/>
  <c r="T166" i="2"/>
  <c r="B167" i="2"/>
  <c r="C167" i="2"/>
  <c r="D167" i="2"/>
  <c r="E167" i="2"/>
  <c r="F167" i="2"/>
  <c r="G167" i="2"/>
  <c r="H167" i="2"/>
  <c r="U167" i="2" s="1"/>
  <c r="I167" i="2"/>
  <c r="J167" i="2"/>
  <c r="K167" i="2"/>
  <c r="L167" i="2"/>
  <c r="M167" i="2"/>
  <c r="N167" i="2"/>
  <c r="O167" i="2"/>
  <c r="Q167" i="2"/>
  <c r="R167" i="2"/>
  <c r="S167" i="2"/>
  <c r="T167" i="2"/>
  <c r="B168" i="2"/>
  <c r="C168" i="2"/>
  <c r="D168" i="2"/>
  <c r="E168" i="2"/>
  <c r="F168" i="2"/>
  <c r="G168" i="2"/>
  <c r="H168" i="2"/>
  <c r="U168" i="2" s="1"/>
  <c r="I168" i="2"/>
  <c r="J168" i="2"/>
  <c r="K168" i="2"/>
  <c r="L168" i="2"/>
  <c r="M168" i="2"/>
  <c r="N168" i="2"/>
  <c r="O168" i="2"/>
  <c r="Q168" i="2"/>
  <c r="R168" i="2"/>
  <c r="S168" i="2"/>
  <c r="T168" i="2"/>
  <c r="B169" i="2"/>
  <c r="C169" i="2"/>
  <c r="D169" i="2"/>
  <c r="E169" i="2"/>
  <c r="F169" i="2"/>
  <c r="G169" i="2"/>
  <c r="H169" i="2"/>
  <c r="U169" i="2" s="1"/>
  <c r="I169" i="2"/>
  <c r="J169" i="2"/>
  <c r="K169" i="2"/>
  <c r="L169" i="2"/>
  <c r="M169" i="2"/>
  <c r="N169" i="2"/>
  <c r="O169" i="2"/>
  <c r="Q169" i="2"/>
  <c r="R169" i="2"/>
  <c r="S169" i="2"/>
  <c r="T169" i="2"/>
  <c r="B170" i="2"/>
  <c r="C170" i="2"/>
  <c r="D170" i="2"/>
  <c r="E170" i="2"/>
  <c r="F170" i="2"/>
  <c r="G170" i="2"/>
  <c r="H170" i="2"/>
  <c r="U170" i="2" s="1"/>
  <c r="I170" i="2"/>
  <c r="J170" i="2"/>
  <c r="K170" i="2"/>
  <c r="L170" i="2"/>
  <c r="M170" i="2"/>
  <c r="N170" i="2"/>
  <c r="O170" i="2"/>
  <c r="Q170" i="2"/>
  <c r="R170" i="2"/>
  <c r="S170" i="2"/>
  <c r="T170" i="2"/>
  <c r="B171" i="2"/>
  <c r="C171" i="2"/>
  <c r="D171" i="2"/>
  <c r="E171" i="2"/>
  <c r="F171" i="2"/>
  <c r="G171" i="2"/>
  <c r="H171" i="2"/>
  <c r="U171" i="2" s="1"/>
  <c r="I171" i="2"/>
  <c r="J171" i="2"/>
  <c r="K171" i="2"/>
  <c r="L171" i="2"/>
  <c r="M171" i="2"/>
  <c r="N171" i="2"/>
  <c r="O171" i="2"/>
  <c r="Q171" i="2"/>
  <c r="R171" i="2"/>
  <c r="S171" i="2"/>
  <c r="T171" i="2"/>
  <c r="B172" i="2"/>
  <c r="C172" i="2"/>
  <c r="D172" i="2"/>
  <c r="E172" i="2"/>
  <c r="F172" i="2"/>
  <c r="G172" i="2"/>
  <c r="H172" i="2"/>
  <c r="U172" i="2" s="1"/>
  <c r="I172" i="2"/>
  <c r="J172" i="2"/>
  <c r="K172" i="2"/>
  <c r="L172" i="2"/>
  <c r="M172" i="2"/>
  <c r="N172" i="2"/>
  <c r="O172" i="2"/>
  <c r="Q172" i="2"/>
  <c r="R172" i="2"/>
  <c r="S172" i="2"/>
  <c r="T172" i="2"/>
  <c r="B173" i="2"/>
  <c r="C173" i="2"/>
  <c r="D173" i="2"/>
  <c r="E173" i="2"/>
  <c r="F173" i="2"/>
  <c r="G173" i="2"/>
  <c r="H173" i="2"/>
  <c r="U173" i="2" s="1"/>
  <c r="I173" i="2"/>
  <c r="J173" i="2"/>
  <c r="K173" i="2"/>
  <c r="L173" i="2"/>
  <c r="M173" i="2"/>
  <c r="N173" i="2"/>
  <c r="O173" i="2"/>
  <c r="Q173" i="2"/>
  <c r="R173" i="2"/>
  <c r="S173" i="2"/>
  <c r="T173" i="2"/>
  <c r="B174" i="2"/>
  <c r="C174" i="2"/>
  <c r="D174" i="2"/>
  <c r="E174" i="2"/>
  <c r="F174" i="2"/>
  <c r="G174" i="2"/>
  <c r="H174" i="2"/>
  <c r="U174" i="2" s="1"/>
  <c r="I174" i="2"/>
  <c r="J174" i="2"/>
  <c r="K174" i="2"/>
  <c r="L174" i="2"/>
  <c r="M174" i="2"/>
  <c r="N174" i="2"/>
  <c r="O174" i="2"/>
  <c r="Q174" i="2"/>
  <c r="R174" i="2"/>
  <c r="S174" i="2"/>
  <c r="T174" i="2"/>
  <c r="B175" i="2"/>
  <c r="C175" i="2"/>
  <c r="D175" i="2"/>
  <c r="E175" i="2"/>
  <c r="F175" i="2"/>
  <c r="G175" i="2"/>
  <c r="H175" i="2"/>
  <c r="U175" i="2" s="1"/>
  <c r="I175" i="2"/>
  <c r="J175" i="2"/>
  <c r="K175" i="2"/>
  <c r="L175" i="2"/>
  <c r="M175" i="2"/>
  <c r="N175" i="2"/>
  <c r="O175" i="2"/>
  <c r="Q175" i="2"/>
  <c r="R175" i="2"/>
  <c r="S175" i="2"/>
  <c r="T175" i="2"/>
  <c r="B176" i="2"/>
  <c r="C176" i="2"/>
  <c r="D176" i="2"/>
  <c r="E176" i="2"/>
  <c r="F176" i="2"/>
  <c r="G176" i="2"/>
  <c r="H176" i="2"/>
  <c r="U176" i="2" s="1"/>
  <c r="I176" i="2"/>
  <c r="J176" i="2"/>
  <c r="K176" i="2"/>
  <c r="L176" i="2"/>
  <c r="M176" i="2"/>
  <c r="N176" i="2"/>
  <c r="O176" i="2"/>
  <c r="Q176" i="2"/>
  <c r="R176" i="2"/>
  <c r="S176" i="2"/>
  <c r="T176" i="2"/>
  <c r="B177" i="2"/>
  <c r="C177" i="2"/>
  <c r="D177" i="2"/>
  <c r="E177" i="2"/>
  <c r="F177" i="2"/>
  <c r="G177" i="2"/>
  <c r="H177" i="2"/>
  <c r="U177" i="2" s="1"/>
  <c r="I177" i="2"/>
  <c r="J177" i="2"/>
  <c r="K177" i="2"/>
  <c r="L177" i="2"/>
  <c r="M177" i="2"/>
  <c r="N177" i="2"/>
  <c r="O177" i="2"/>
  <c r="Q177" i="2"/>
  <c r="R177" i="2"/>
  <c r="S177" i="2"/>
  <c r="T177" i="2"/>
  <c r="B178" i="2"/>
  <c r="C178" i="2"/>
  <c r="D178" i="2"/>
  <c r="E178" i="2"/>
  <c r="F178" i="2"/>
  <c r="G178" i="2"/>
  <c r="H178" i="2"/>
  <c r="U178" i="2" s="1"/>
  <c r="I178" i="2"/>
  <c r="J178" i="2"/>
  <c r="K178" i="2"/>
  <c r="L178" i="2"/>
  <c r="M178" i="2"/>
  <c r="N178" i="2"/>
  <c r="O178" i="2"/>
  <c r="Q178" i="2"/>
  <c r="R178" i="2"/>
  <c r="S178" i="2"/>
  <c r="T178" i="2"/>
  <c r="B179" i="2"/>
  <c r="C179" i="2"/>
  <c r="D179" i="2"/>
  <c r="E179" i="2"/>
  <c r="F179" i="2"/>
  <c r="G179" i="2"/>
  <c r="H179" i="2"/>
  <c r="U179" i="2" s="1"/>
  <c r="I179" i="2"/>
  <c r="J179" i="2"/>
  <c r="K179" i="2"/>
  <c r="L179" i="2"/>
  <c r="M179" i="2"/>
  <c r="N179" i="2"/>
  <c r="O179" i="2"/>
  <c r="Q179" i="2"/>
  <c r="R179" i="2"/>
  <c r="S179" i="2"/>
  <c r="T179" i="2"/>
  <c r="B180" i="2"/>
  <c r="C180" i="2"/>
  <c r="D180" i="2"/>
  <c r="E180" i="2"/>
  <c r="F180" i="2"/>
  <c r="G180" i="2"/>
  <c r="H180" i="2"/>
  <c r="U180" i="2" s="1"/>
  <c r="I180" i="2"/>
  <c r="J180" i="2"/>
  <c r="K180" i="2"/>
  <c r="L180" i="2"/>
  <c r="M180" i="2"/>
  <c r="N180" i="2"/>
  <c r="O180" i="2"/>
  <c r="Q180" i="2"/>
  <c r="R180" i="2"/>
  <c r="S180" i="2"/>
  <c r="T180" i="2"/>
  <c r="B181" i="2"/>
  <c r="C181" i="2"/>
  <c r="D181" i="2"/>
  <c r="E181" i="2"/>
  <c r="F181" i="2"/>
  <c r="G181" i="2"/>
  <c r="H181" i="2"/>
  <c r="U181" i="2" s="1"/>
  <c r="I181" i="2"/>
  <c r="J181" i="2"/>
  <c r="K181" i="2"/>
  <c r="L181" i="2"/>
  <c r="M181" i="2"/>
  <c r="N181" i="2"/>
  <c r="O181" i="2"/>
  <c r="Q181" i="2"/>
  <c r="R181" i="2"/>
  <c r="S181" i="2"/>
  <c r="T181" i="2"/>
  <c r="B182" i="2"/>
  <c r="C182" i="2"/>
  <c r="D182" i="2"/>
  <c r="E182" i="2"/>
  <c r="F182" i="2"/>
  <c r="G182" i="2"/>
  <c r="H182" i="2"/>
  <c r="U182" i="2" s="1"/>
  <c r="I182" i="2"/>
  <c r="J182" i="2"/>
  <c r="K182" i="2"/>
  <c r="L182" i="2"/>
  <c r="M182" i="2"/>
  <c r="N182" i="2"/>
  <c r="O182" i="2"/>
  <c r="Q182" i="2"/>
  <c r="R182" i="2"/>
  <c r="S182" i="2"/>
  <c r="T182" i="2"/>
  <c r="B183" i="2"/>
  <c r="C183" i="2"/>
  <c r="D183" i="2"/>
  <c r="E183" i="2"/>
  <c r="F183" i="2"/>
  <c r="G183" i="2"/>
  <c r="H183" i="2"/>
  <c r="U183" i="2" s="1"/>
  <c r="I183" i="2"/>
  <c r="J183" i="2"/>
  <c r="K183" i="2"/>
  <c r="L183" i="2"/>
  <c r="M183" i="2"/>
  <c r="N183" i="2"/>
  <c r="O183" i="2"/>
  <c r="Q183" i="2"/>
  <c r="R183" i="2"/>
  <c r="S183" i="2"/>
  <c r="T183" i="2"/>
  <c r="B184" i="2"/>
  <c r="C184" i="2"/>
  <c r="D184" i="2"/>
  <c r="E184" i="2"/>
  <c r="F184" i="2"/>
  <c r="G184" i="2"/>
  <c r="H184" i="2"/>
  <c r="U184" i="2" s="1"/>
  <c r="I184" i="2"/>
  <c r="J184" i="2"/>
  <c r="K184" i="2"/>
  <c r="L184" i="2"/>
  <c r="M184" i="2"/>
  <c r="N184" i="2"/>
  <c r="O184" i="2"/>
  <c r="Q184" i="2"/>
  <c r="R184" i="2"/>
  <c r="S184" i="2"/>
  <c r="T184" i="2"/>
  <c r="B185" i="2"/>
  <c r="C185" i="2"/>
  <c r="D185" i="2"/>
  <c r="E185" i="2"/>
  <c r="F185" i="2"/>
  <c r="G185" i="2"/>
  <c r="H185" i="2"/>
  <c r="U185" i="2" s="1"/>
  <c r="I185" i="2"/>
  <c r="J185" i="2"/>
  <c r="K185" i="2"/>
  <c r="L185" i="2"/>
  <c r="M185" i="2"/>
  <c r="N185" i="2"/>
  <c r="O185" i="2"/>
  <c r="Q185" i="2"/>
  <c r="R185" i="2"/>
  <c r="S185" i="2"/>
  <c r="T185" i="2"/>
  <c r="B186" i="2"/>
  <c r="C186" i="2"/>
  <c r="D186" i="2"/>
  <c r="E186" i="2"/>
  <c r="F186" i="2"/>
  <c r="G186" i="2"/>
  <c r="H186" i="2"/>
  <c r="U186" i="2" s="1"/>
  <c r="I186" i="2"/>
  <c r="J186" i="2"/>
  <c r="K186" i="2"/>
  <c r="L186" i="2"/>
  <c r="M186" i="2"/>
  <c r="N186" i="2"/>
  <c r="O186" i="2"/>
  <c r="Q186" i="2"/>
  <c r="R186" i="2"/>
  <c r="S186" i="2"/>
  <c r="T186" i="2"/>
  <c r="B187" i="2"/>
  <c r="C187" i="2"/>
  <c r="D187" i="2"/>
  <c r="E187" i="2"/>
  <c r="F187" i="2"/>
  <c r="G187" i="2"/>
  <c r="H187" i="2"/>
  <c r="U187" i="2" s="1"/>
  <c r="I187" i="2"/>
  <c r="J187" i="2"/>
  <c r="K187" i="2"/>
  <c r="L187" i="2"/>
  <c r="M187" i="2"/>
  <c r="N187" i="2"/>
  <c r="O187" i="2"/>
  <c r="Q187" i="2"/>
  <c r="R187" i="2"/>
  <c r="S187" i="2"/>
  <c r="T187" i="2"/>
  <c r="B188" i="2"/>
  <c r="C188" i="2"/>
  <c r="D188" i="2"/>
  <c r="E188" i="2"/>
  <c r="F188" i="2"/>
  <c r="G188" i="2"/>
  <c r="H188" i="2"/>
  <c r="U188" i="2" s="1"/>
  <c r="I188" i="2"/>
  <c r="J188" i="2"/>
  <c r="K188" i="2"/>
  <c r="L188" i="2"/>
  <c r="M188" i="2"/>
  <c r="N188" i="2"/>
  <c r="O188" i="2"/>
  <c r="Q188" i="2"/>
  <c r="R188" i="2"/>
  <c r="S188" i="2"/>
  <c r="T188" i="2"/>
  <c r="B189" i="2"/>
  <c r="C189" i="2"/>
  <c r="D189" i="2"/>
  <c r="E189" i="2"/>
  <c r="F189" i="2"/>
  <c r="G189" i="2"/>
  <c r="H189" i="2"/>
  <c r="U189" i="2" s="1"/>
  <c r="I189" i="2"/>
  <c r="J189" i="2"/>
  <c r="K189" i="2"/>
  <c r="L189" i="2"/>
  <c r="M189" i="2"/>
  <c r="N189" i="2"/>
  <c r="O189" i="2"/>
  <c r="Q189" i="2"/>
  <c r="R189" i="2"/>
  <c r="S189" i="2"/>
  <c r="T189" i="2"/>
  <c r="B190" i="2"/>
  <c r="C190" i="2"/>
  <c r="D190" i="2"/>
  <c r="E190" i="2"/>
  <c r="F190" i="2"/>
  <c r="G190" i="2"/>
  <c r="H190" i="2"/>
  <c r="U190" i="2" s="1"/>
  <c r="I190" i="2"/>
  <c r="J190" i="2"/>
  <c r="K190" i="2"/>
  <c r="L190" i="2"/>
  <c r="M190" i="2"/>
  <c r="N190" i="2"/>
  <c r="O190" i="2"/>
  <c r="Q190" i="2"/>
  <c r="R190" i="2"/>
  <c r="S190" i="2"/>
  <c r="T190" i="2"/>
  <c r="B191" i="2"/>
  <c r="C191" i="2"/>
  <c r="D191" i="2"/>
  <c r="E191" i="2"/>
  <c r="F191" i="2"/>
  <c r="G191" i="2"/>
  <c r="H191" i="2"/>
  <c r="U191" i="2" s="1"/>
  <c r="I191" i="2"/>
  <c r="J191" i="2"/>
  <c r="K191" i="2"/>
  <c r="L191" i="2"/>
  <c r="M191" i="2"/>
  <c r="N191" i="2"/>
  <c r="O191" i="2"/>
  <c r="Q191" i="2"/>
  <c r="R191" i="2"/>
  <c r="S191" i="2"/>
  <c r="T191" i="2"/>
  <c r="B192" i="2"/>
  <c r="C192" i="2"/>
  <c r="D192" i="2"/>
  <c r="E192" i="2"/>
  <c r="F192" i="2"/>
  <c r="G192" i="2"/>
  <c r="H192" i="2"/>
  <c r="U192" i="2" s="1"/>
  <c r="I192" i="2"/>
  <c r="J192" i="2"/>
  <c r="K192" i="2"/>
  <c r="L192" i="2"/>
  <c r="M192" i="2"/>
  <c r="N192" i="2"/>
  <c r="O192" i="2"/>
  <c r="Q192" i="2"/>
  <c r="R192" i="2"/>
  <c r="S192" i="2"/>
  <c r="T192" i="2"/>
  <c r="B193" i="2"/>
  <c r="C193" i="2"/>
  <c r="D193" i="2"/>
  <c r="E193" i="2"/>
  <c r="F193" i="2"/>
  <c r="G193" i="2"/>
  <c r="H193" i="2"/>
  <c r="U193" i="2" s="1"/>
  <c r="I193" i="2"/>
  <c r="J193" i="2"/>
  <c r="K193" i="2"/>
  <c r="L193" i="2"/>
  <c r="M193" i="2"/>
  <c r="N193" i="2"/>
  <c r="O193" i="2"/>
  <c r="Q193" i="2"/>
  <c r="R193" i="2"/>
  <c r="S193" i="2"/>
  <c r="T193" i="2"/>
  <c r="B194" i="2"/>
  <c r="C194" i="2"/>
  <c r="D194" i="2"/>
  <c r="E194" i="2"/>
  <c r="F194" i="2"/>
  <c r="G194" i="2"/>
  <c r="H194" i="2"/>
  <c r="U194" i="2" s="1"/>
  <c r="I194" i="2"/>
  <c r="J194" i="2"/>
  <c r="K194" i="2"/>
  <c r="L194" i="2"/>
  <c r="M194" i="2"/>
  <c r="N194" i="2"/>
  <c r="O194" i="2"/>
  <c r="Q194" i="2"/>
  <c r="R194" i="2"/>
  <c r="S194" i="2"/>
  <c r="T194" i="2"/>
  <c r="B195" i="2"/>
  <c r="C195" i="2"/>
  <c r="D195" i="2"/>
  <c r="E195" i="2"/>
  <c r="F195" i="2"/>
  <c r="G195" i="2"/>
  <c r="H195" i="2"/>
  <c r="U195" i="2" s="1"/>
  <c r="I195" i="2"/>
  <c r="J195" i="2"/>
  <c r="K195" i="2"/>
  <c r="L195" i="2"/>
  <c r="M195" i="2"/>
  <c r="N195" i="2"/>
  <c r="O195" i="2"/>
  <c r="Q195" i="2"/>
  <c r="R195" i="2"/>
  <c r="S195" i="2"/>
  <c r="T195" i="2"/>
  <c r="B196" i="2"/>
  <c r="C196" i="2"/>
  <c r="D196" i="2"/>
  <c r="E196" i="2"/>
  <c r="F196" i="2"/>
  <c r="G196" i="2"/>
  <c r="H196" i="2"/>
  <c r="U196" i="2" s="1"/>
  <c r="I196" i="2"/>
  <c r="J196" i="2"/>
  <c r="K196" i="2"/>
  <c r="L196" i="2"/>
  <c r="M196" i="2"/>
  <c r="N196" i="2"/>
  <c r="O196" i="2"/>
  <c r="Q196" i="2"/>
  <c r="R196" i="2"/>
  <c r="S196" i="2"/>
  <c r="T196" i="2"/>
  <c r="B197" i="2"/>
  <c r="C197" i="2"/>
  <c r="D197" i="2"/>
  <c r="E197" i="2"/>
  <c r="F197" i="2"/>
  <c r="G197" i="2"/>
  <c r="H197" i="2"/>
  <c r="U197" i="2" s="1"/>
  <c r="I197" i="2"/>
  <c r="J197" i="2"/>
  <c r="K197" i="2"/>
  <c r="L197" i="2"/>
  <c r="M197" i="2"/>
  <c r="N197" i="2"/>
  <c r="O197" i="2"/>
  <c r="Q197" i="2"/>
  <c r="R197" i="2"/>
  <c r="S197" i="2"/>
  <c r="T197" i="2"/>
  <c r="B198" i="2"/>
  <c r="C198" i="2"/>
  <c r="D198" i="2"/>
  <c r="E198" i="2"/>
  <c r="F198" i="2"/>
  <c r="G198" i="2"/>
  <c r="H198" i="2"/>
  <c r="U198" i="2" s="1"/>
  <c r="I198" i="2"/>
  <c r="J198" i="2"/>
  <c r="K198" i="2"/>
  <c r="L198" i="2"/>
  <c r="M198" i="2"/>
  <c r="N198" i="2"/>
  <c r="O198" i="2"/>
  <c r="Q198" i="2"/>
  <c r="R198" i="2"/>
  <c r="S198" i="2"/>
  <c r="T198" i="2"/>
  <c r="B199" i="2"/>
  <c r="C199" i="2"/>
  <c r="D199" i="2"/>
  <c r="E199" i="2"/>
  <c r="F199" i="2"/>
  <c r="G199" i="2"/>
  <c r="H199" i="2"/>
  <c r="U199" i="2" s="1"/>
  <c r="I199" i="2"/>
  <c r="J199" i="2"/>
  <c r="K199" i="2"/>
  <c r="L199" i="2"/>
  <c r="M199" i="2"/>
  <c r="N199" i="2"/>
  <c r="O199" i="2"/>
  <c r="Q199" i="2"/>
  <c r="R199" i="2"/>
  <c r="S199" i="2"/>
  <c r="T199" i="2"/>
  <c r="B200" i="2"/>
  <c r="C200" i="2"/>
  <c r="D200" i="2"/>
  <c r="E200" i="2"/>
  <c r="F200" i="2"/>
  <c r="G200" i="2"/>
  <c r="H200" i="2"/>
  <c r="U200" i="2" s="1"/>
  <c r="I200" i="2"/>
  <c r="J200" i="2"/>
  <c r="K200" i="2"/>
  <c r="L200" i="2"/>
  <c r="M200" i="2"/>
  <c r="N200" i="2"/>
  <c r="O200" i="2"/>
  <c r="Q200" i="2"/>
  <c r="R200" i="2"/>
  <c r="S200" i="2"/>
  <c r="T200" i="2"/>
  <c r="B201" i="2"/>
  <c r="C201" i="2"/>
  <c r="D201" i="2"/>
  <c r="E201" i="2"/>
  <c r="F201" i="2"/>
  <c r="G201" i="2"/>
  <c r="H201" i="2"/>
  <c r="U201" i="2" s="1"/>
  <c r="I201" i="2"/>
  <c r="J201" i="2"/>
  <c r="K201" i="2"/>
  <c r="L201" i="2"/>
  <c r="M201" i="2"/>
  <c r="N201" i="2"/>
  <c r="O201" i="2"/>
  <c r="Q201" i="2"/>
  <c r="R201" i="2"/>
  <c r="S201" i="2"/>
  <c r="T201" i="2"/>
  <c r="B202" i="2"/>
  <c r="C202" i="2"/>
  <c r="D202" i="2"/>
  <c r="E202" i="2"/>
  <c r="F202" i="2"/>
  <c r="G202" i="2"/>
  <c r="H202" i="2"/>
  <c r="U202" i="2" s="1"/>
  <c r="I202" i="2"/>
  <c r="J202" i="2"/>
  <c r="K202" i="2"/>
  <c r="L202" i="2"/>
  <c r="M202" i="2"/>
  <c r="N202" i="2"/>
  <c r="O202" i="2"/>
  <c r="Q202" i="2"/>
  <c r="R202" i="2"/>
  <c r="S202" i="2"/>
  <c r="T202" i="2"/>
  <c r="B203" i="2"/>
  <c r="C203" i="2"/>
  <c r="D203" i="2"/>
  <c r="E203" i="2"/>
  <c r="F203" i="2"/>
  <c r="G203" i="2"/>
  <c r="H203" i="2"/>
  <c r="U203" i="2" s="1"/>
  <c r="I203" i="2"/>
  <c r="J203" i="2"/>
  <c r="K203" i="2"/>
  <c r="L203" i="2"/>
  <c r="M203" i="2"/>
  <c r="N203" i="2"/>
  <c r="O203" i="2"/>
  <c r="Q203" i="2"/>
  <c r="R203" i="2"/>
  <c r="S203" i="2"/>
  <c r="T203" i="2"/>
  <c r="B204" i="2"/>
  <c r="C204" i="2"/>
  <c r="D204" i="2"/>
  <c r="E204" i="2"/>
  <c r="F204" i="2"/>
  <c r="G204" i="2"/>
  <c r="H204" i="2"/>
  <c r="U204" i="2" s="1"/>
  <c r="I204" i="2"/>
  <c r="J204" i="2"/>
  <c r="K204" i="2"/>
  <c r="L204" i="2"/>
  <c r="M204" i="2"/>
  <c r="N204" i="2"/>
  <c r="O204" i="2"/>
  <c r="Q204" i="2"/>
  <c r="R204" i="2"/>
  <c r="S204" i="2"/>
  <c r="T204" i="2"/>
  <c r="B205" i="2"/>
  <c r="C205" i="2"/>
  <c r="D205" i="2"/>
  <c r="E205" i="2"/>
  <c r="F205" i="2"/>
  <c r="G205" i="2"/>
  <c r="H205" i="2"/>
  <c r="U205" i="2" s="1"/>
  <c r="I205" i="2"/>
  <c r="J205" i="2"/>
  <c r="K205" i="2"/>
  <c r="L205" i="2"/>
  <c r="M205" i="2"/>
  <c r="N205" i="2"/>
  <c r="O205" i="2"/>
  <c r="Q205" i="2"/>
  <c r="R205" i="2"/>
  <c r="S205" i="2"/>
  <c r="T205" i="2"/>
  <c r="B206" i="2"/>
  <c r="C206" i="2"/>
  <c r="D206" i="2"/>
  <c r="E206" i="2"/>
  <c r="F206" i="2"/>
  <c r="G206" i="2"/>
  <c r="H206" i="2"/>
  <c r="U206" i="2" s="1"/>
  <c r="I206" i="2"/>
  <c r="J206" i="2"/>
  <c r="K206" i="2"/>
  <c r="L206" i="2"/>
  <c r="M206" i="2"/>
  <c r="N206" i="2"/>
  <c r="O206" i="2"/>
  <c r="Q206" i="2"/>
  <c r="R206" i="2"/>
  <c r="S206" i="2"/>
  <c r="T206" i="2"/>
  <c r="B207" i="2"/>
  <c r="C207" i="2"/>
  <c r="D207" i="2"/>
  <c r="E207" i="2"/>
  <c r="F207" i="2"/>
  <c r="G207" i="2"/>
  <c r="H207" i="2"/>
  <c r="U207" i="2" s="1"/>
  <c r="I207" i="2"/>
  <c r="J207" i="2"/>
  <c r="K207" i="2"/>
  <c r="L207" i="2"/>
  <c r="M207" i="2"/>
  <c r="N207" i="2"/>
  <c r="O207" i="2"/>
  <c r="Q207" i="2"/>
  <c r="R207" i="2"/>
  <c r="S207" i="2"/>
  <c r="T207" i="2"/>
  <c r="B208" i="2"/>
  <c r="C208" i="2"/>
  <c r="D208" i="2"/>
  <c r="E208" i="2"/>
  <c r="F208" i="2"/>
  <c r="G208" i="2"/>
  <c r="H208" i="2"/>
  <c r="U208" i="2" s="1"/>
  <c r="I208" i="2"/>
  <c r="J208" i="2"/>
  <c r="K208" i="2"/>
  <c r="L208" i="2"/>
  <c r="M208" i="2"/>
  <c r="N208" i="2"/>
  <c r="O208" i="2"/>
  <c r="Q208" i="2"/>
  <c r="R208" i="2"/>
  <c r="S208" i="2"/>
  <c r="T208" i="2"/>
  <c r="B209" i="2"/>
  <c r="C209" i="2"/>
  <c r="D209" i="2"/>
  <c r="E209" i="2"/>
  <c r="F209" i="2"/>
  <c r="G209" i="2"/>
  <c r="H209" i="2"/>
  <c r="U209" i="2" s="1"/>
  <c r="I209" i="2"/>
  <c r="J209" i="2"/>
  <c r="K209" i="2"/>
  <c r="L209" i="2"/>
  <c r="M209" i="2"/>
  <c r="N209" i="2"/>
  <c r="O209" i="2"/>
  <c r="Q209" i="2"/>
  <c r="R209" i="2"/>
  <c r="S209" i="2"/>
  <c r="T209" i="2"/>
  <c r="B210" i="2"/>
  <c r="C210" i="2"/>
  <c r="D210" i="2"/>
  <c r="E210" i="2"/>
  <c r="F210" i="2"/>
  <c r="G210" i="2"/>
  <c r="H210" i="2"/>
  <c r="U210" i="2" s="1"/>
  <c r="I210" i="2"/>
  <c r="J210" i="2"/>
  <c r="K210" i="2"/>
  <c r="L210" i="2"/>
  <c r="M210" i="2"/>
  <c r="N210" i="2"/>
  <c r="O210" i="2"/>
  <c r="Q210" i="2"/>
  <c r="R210" i="2"/>
  <c r="S210" i="2"/>
  <c r="T210" i="2"/>
  <c r="B211" i="2"/>
  <c r="C211" i="2"/>
  <c r="D211" i="2"/>
  <c r="E211" i="2"/>
  <c r="F211" i="2"/>
  <c r="G211" i="2"/>
  <c r="H211" i="2"/>
  <c r="U211" i="2" s="1"/>
  <c r="I211" i="2"/>
  <c r="J211" i="2"/>
  <c r="K211" i="2"/>
  <c r="L211" i="2"/>
  <c r="M211" i="2"/>
  <c r="N211" i="2"/>
  <c r="O211" i="2"/>
  <c r="Q211" i="2"/>
  <c r="R211" i="2"/>
  <c r="S211" i="2"/>
  <c r="T211" i="2"/>
  <c r="B212" i="2"/>
  <c r="C212" i="2"/>
  <c r="D212" i="2"/>
  <c r="E212" i="2"/>
  <c r="F212" i="2"/>
  <c r="G212" i="2"/>
  <c r="H212" i="2"/>
  <c r="U212" i="2" s="1"/>
  <c r="I212" i="2"/>
  <c r="J212" i="2"/>
  <c r="K212" i="2"/>
  <c r="L212" i="2"/>
  <c r="M212" i="2"/>
  <c r="N212" i="2"/>
  <c r="O212" i="2"/>
  <c r="Q212" i="2"/>
  <c r="R212" i="2"/>
  <c r="S212" i="2"/>
  <c r="T212" i="2"/>
  <c r="B213" i="2"/>
  <c r="C213" i="2"/>
  <c r="D213" i="2"/>
  <c r="E213" i="2"/>
  <c r="F213" i="2"/>
  <c r="G213" i="2"/>
  <c r="H213" i="2"/>
  <c r="U213" i="2" s="1"/>
  <c r="I213" i="2"/>
  <c r="J213" i="2"/>
  <c r="K213" i="2"/>
  <c r="L213" i="2"/>
  <c r="M213" i="2"/>
  <c r="N213" i="2"/>
  <c r="O213" i="2"/>
  <c r="Q213" i="2"/>
  <c r="R213" i="2"/>
  <c r="S213" i="2"/>
  <c r="T213" i="2"/>
  <c r="B214" i="2"/>
  <c r="C214" i="2"/>
  <c r="D214" i="2"/>
  <c r="E214" i="2"/>
  <c r="F214" i="2"/>
  <c r="G214" i="2"/>
  <c r="H214" i="2"/>
  <c r="U214" i="2" s="1"/>
  <c r="I214" i="2"/>
  <c r="J214" i="2"/>
  <c r="K214" i="2"/>
  <c r="L214" i="2"/>
  <c r="M214" i="2"/>
  <c r="N214" i="2"/>
  <c r="O214" i="2"/>
  <c r="Q214" i="2"/>
  <c r="R214" i="2"/>
  <c r="S214" i="2"/>
  <c r="T214" i="2"/>
  <c r="B215" i="2"/>
  <c r="C215" i="2"/>
  <c r="D215" i="2"/>
  <c r="E215" i="2"/>
  <c r="F215" i="2"/>
  <c r="G215" i="2"/>
  <c r="H215" i="2"/>
  <c r="U215" i="2" s="1"/>
  <c r="I215" i="2"/>
  <c r="J215" i="2"/>
  <c r="K215" i="2"/>
  <c r="L215" i="2"/>
  <c r="M215" i="2"/>
  <c r="N215" i="2"/>
  <c r="O215" i="2"/>
  <c r="Q215" i="2"/>
  <c r="R215" i="2"/>
  <c r="S215" i="2"/>
  <c r="T215" i="2"/>
  <c r="B216" i="2"/>
  <c r="C216" i="2"/>
  <c r="D216" i="2"/>
  <c r="E216" i="2"/>
  <c r="F216" i="2"/>
  <c r="G216" i="2"/>
  <c r="H216" i="2"/>
  <c r="U216" i="2" s="1"/>
  <c r="I216" i="2"/>
  <c r="J216" i="2"/>
  <c r="K216" i="2"/>
  <c r="L216" i="2"/>
  <c r="M216" i="2"/>
  <c r="N216" i="2"/>
  <c r="O216" i="2"/>
  <c r="Q216" i="2"/>
  <c r="R216" i="2"/>
  <c r="S216" i="2"/>
  <c r="T216" i="2"/>
  <c r="B217" i="2"/>
  <c r="C217" i="2"/>
  <c r="D217" i="2"/>
  <c r="E217" i="2"/>
  <c r="F217" i="2"/>
  <c r="G217" i="2"/>
  <c r="H217" i="2"/>
  <c r="U217" i="2" s="1"/>
  <c r="I217" i="2"/>
  <c r="J217" i="2"/>
  <c r="K217" i="2"/>
  <c r="L217" i="2"/>
  <c r="M217" i="2"/>
  <c r="N217" i="2"/>
  <c r="O217" i="2"/>
  <c r="Q217" i="2"/>
  <c r="R217" i="2"/>
  <c r="S217" i="2"/>
  <c r="T217" i="2"/>
  <c r="B218" i="2"/>
  <c r="C218" i="2"/>
  <c r="D218" i="2"/>
  <c r="E218" i="2"/>
  <c r="F218" i="2"/>
  <c r="G218" i="2"/>
  <c r="H218" i="2"/>
  <c r="U218" i="2" s="1"/>
  <c r="I218" i="2"/>
  <c r="J218" i="2"/>
  <c r="K218" i="2"/>
  <c r="L218" i="2"/>
  <c r="M218" i="2"/>
  <c r="N218" i="2"/>
  <c r="O218" i="2"/>
  <c r="Q218" i="2"/>
  <c r="R218" i="2"/>
  <c r="S218" i="2"/>
  <c r="T218" i="2"/>
  <c r="B219" i="2"/>
  <c r="C219" i="2"/>
  <c r="D219" i="2"/>
  <c r="E219" i="2"/>
  <c r="F219" i="2"/>
  <c r="G219" i="2"/>
  <c r="H219" i="2"/>
  <c r="U219" i="2" s="1"/>
  <c r="I219" i="2"/>
  <c r="J219" i="2"/>
  <c r="K219" i="2"/>
  <c r="L219" i="2"/>
  <c r="M219" i="2"/>
  <c r="N219" i="2"/>
  <c r="O219" i="2"/>
  <c r="Q219" i="2"/>
  <c r="R219" i="2"/>
  <c r="S219" i="2"/>
  <c r="T219" i="2"/>
  <c r="B220" i="2"/>
  <c r="C220" i="2"/>
  <c r="D220" i="2"/>
  <c r="E220" i="2"/>
  <c r="F220" i="2"/>
  <c r="G220" i="2"/>
  <c r="H220" i="2"/>
  <c r="U220" i="2" s="1"/>
  <c r="I220" i="2"/>
  <c r="J220" i="2"/>
  <c r="K220" i="2"/>
  <c r="L220" i="2"/>
  <c r="M220" i="2"/>
  <c r="N220" i="2"/>
  <c r="O220" i="2"/>
  <c r="Q220" i="2"/>
  <c r="R220" i="2"/>
  <c r="S220" i="2"/>
  <c r="T220" i="2"/>
  <c r="B221" i="2"/>
  <c r="C221" i="2"/>
  <c r="D221" i="2"/>
  <c r="E221" i="2"/>
  <c r="F221" i="2"/>
  <c r="G221" i="2"/>
  <c r="H221" i="2"/>
  <c r="U221" i="2" s="1"/>
  <c r="I221" i="2"/>
  <c r="J221" i="2"/>
  <c r="K221" i="2"/>
  <c r="L221" i="2"/>
  <c r="M221" i="2"/>
  <c r="N221" i="2"/>
  <c r="O221" i="2"/>
  <c r="Q221" i="2"/>
  <c r="R221" i="2"/>
  <c r="S221" i="2"/>
  <c r="T221" i="2"/>
  <c r="A2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A1" i="2"/>
</calcChain>
</file>

<file path=xl/sharedStrings.xml><?xml version="1.0" encoding="utf-8"?>
<sst xmlns="http://schemas.openxmlformats.org/spreadsheetml/2006/main" count="12494" uniqueCount="2633">
  <si>
    <t>No</t>
  </si>
  <si>
    <t>Cabang Tujuan Order</t>
  </si>
  <si>
    <t>Customer</t>
  </si>
  <si>
    <t>order No Confins</t>
  </si>
  <si>
    <t>prospect No</t>
  </si>
  <si>
    <t>Source App</t>
  </si>
  <si>
    <t>agrmnt no</t>
  </si>
  <si>
    <t>application no</t>
  </si>
  <si>
    <t>cmo</t>
  </si>
  <si>
    <t>Nama Supplier</t>
  </si>
  <si>
    <t>order input</t>
  </si>
  <si>
    <t>Status Date</t>
  </si>
  <si>
    <t>statusname</t>
  </si>
  <si>
    <t>statusdesc</t>
  </si>
  <si>
    <t>asset Type</t>
  </si>
  <si>
    <t>Merk Asset</t>
  </si>
  <si>
    <t>Tahun Asset</t>
  </si>
  <si>
    <t>user Prospect dashboard</t>
  </si>
  <si>
    <t>user Prospect Confins</t>
  </si>
  <si>
    <t>survey 1 name</t>
  </si>
  <si>
    <t>survey 2 name</t>
  </si>
  <si>
    <t>Recommended / Not Recommended</t>
  </si>
  <si>
    <t>isdki</t>
  </si>
  <si>
    <t>Kategori Ordef</t>
  </si>
  <si>
    <t>Referantor Type</t>
  </si>
  <si>
    <t>Product Offering Description</t>
  </si>
  <si>
    <t>NIK</t>
  </si>
  <si>
    <t>ntf amt</t>
  </si>
  <si>
    <t>assignee</t>
  </si>
  <si>
    <t>survey date</t>
  </si>
  <si>
    <t>nopolisi (confins)</t>
  </si>
  <si>
    <t>nopolisi (dashboard los)</t>
  </si>
  <si>
    <t>suppl branch code</t>
  </si>
  <si>
    <t>Supplier Category</t>
  </si>
  <si>
    <t>Sales Agen ID</t>
  </si>
  <si>
    <t>Nama Sales Agen</t>
  </si>
  <si>
    <t>Status Category</t>
  </si>
  <si>
    <t>SOA</t>
  </si>
  <si>
    <t>Date order in</t>
  </si>
  <si>
    <t>Year</t>
  </si>
  <si>
    <t>Month App In</t>
  </si>
  <si>
    <t>Date Status</t>
  </si>
  <si>
    <t>Month Status</t>
  </si>
  <si>
    <t>ALAM SUTERA</t>
  </si>
  <si>
    <t>SAKIRAN</t>
  </si>
  <si>
    <t>ODRNO2607010097</t>
  </si>
  <si>
    <t>838PRS20260702390</t>
  </si>
  <si>
    <t>Sales Agent (SA)</t>
  </si>
  <si>
    <t>8381032600023</t>
  </si>
  <si>
    <t>838APP20260700009</t>
  </si>
  <si>
    <t>IBRAHIM AZIZ</t>
  </si>
  <si>
    <t>PINJAMAN BU ANA</t>
  </si>
  <si>
    <t>Go Live</t>
  </si>
  <si>
    <t>Status Aplikasi sudah dilakukan Golive</t>
  </si>
  <si>
    <t>USED</t>
  </si>
  <si>
    <t>TOYOTA</t>
  </si>
  <si>
    <t>2022</t>
  </si>
  <si>
    <t>automatic</t>
  </si>
  <si>
    <t>MUHLIS2</t>
  </si>
  <si>
    <t>not survey / not survey</t>
  </si>
  <si>
    <t>DKI</t>
  </si>
  <si>
    <t>Form Order - CF Bu Ana</t>
  </si>
  <si>
    <t>PINJAMAN BU ANA PASSENGER SUMBER SALES AGENT PAKET SANTUY REBORN - MODAL USAHA</t>
  </si>
  <si>
    <t>3603020605690001</t>
  </si>
  <si>
    <t>A 135 WC</t>
  </si>
  <si>
    <t>B</t>
  </si>
  <si>
    <t>MULTIGUNA JASA</t>
  </si>
  <si>
    <t>DONNIE PRASTIYO-526010</t>
  </si>
  <si>
    <t/>
  </si>
  <si>
    <t>Golive</t>
  </si>
  <si>
    <t>SA</t>
  </si>
  <si>
    <t>July</t>
  </si>
  <si>
    <t>GATOT WARDONO</t>
  </si>
  <si>
    <t>ODRNO2607010131</t>
  </si>
  <si>
    <t>838PRS20260702392</t>
  </si>
  <si>
    <t>LandingPage</t>
  </si>
  <si>
    <t>Prospect Cancel</t>
  </si>
  <si>
    <t>Status Cancel Prospect</t>
  </si>
  <si>
    <t>SUZUKI</t>
  </si>
  <si>
    <t>2011</t>
  </si>
  <si>
    <t>3173080308750007</t>
  </si>
  <si>
    <t>B 1977 JVH</t>
  </si>
  <si>
    <t>Cancel</t>
  </si>
  <si>
    <t>BANDUNG</t>
  </si>
  <si>
    <t>ARIE ARLIAN DARLIANA</t>
  </si>
  <si>
    <t>ODRNO2607010064</t>
  </si>
  <si>
    <t>813PRS20260705019</t>
  </si>
  <si>
    <t>RAMDHAN FIRMANSYAH</t>
  </si>
  <si>
    <t>DAIHATSU</t>
  </si>
  <si>
    <t>2016</t>
  </si>
  <si>
    <t>NON DKI</t>
  </si>
  <si>
    <t>3204380407860015</t>
  </si>
  <si>
    <t>0</t>
  </si>
  <si>
    <t>SONI SOMANTRI-126214</t>
  </si>
  <si>
    <t>SITI FATIMAH</t>
  </si>
  <si>
    <t>ODRNO2607010086</t>
  </si>
  <si>
    <t>813PRS20260705023</t>
  </si>
  <si>
    <t>3273224908910002</t>
  </si>
  <si>
    <t>ARIF NUR ALIM HIDAYAT-126022</t>
  </si>
  <si>
    <t>BATAM</t>
  </si>
  <si>
    <t>Ade Irma Nurjannah</t>
  </si>
  <si>
    <t>ODRNO2607010021</t>
  </si>
  <si>
    <t>806PRS20260701974</t>
  </si>
  <si>
    <t>AGUNG SETIAWAN FATTAH</t>
  </si>
  <si>
    <t>setyo.yulianto</t>
  </si>
  <si>
    <t>1219064809950004</t>
  </si>
  <si>
    <t>BEKASI</t>
  </si>
  <si>
    <t>SRIYONO</t>
  </si>
  <si>
    <t>ODRNO2607010094</t>
  </si>
  <si>
    <t>811PRS20260704433</t>
  </si>
  <si>
    <t>8111022600026</t>
  </si>
  <si>
    <t>811APP20260700035</t>
  </si>
  <si>
    <t>KURNIAWAN ARIBOWO</t>
  </si>
  <si>
    <t>2018</t>
  </si>
  <si>
    <t>PINJAMAN BU ANA PASSENGER SUMBER SALES AGENT PAKET SANTUY REBORN</t>
  </si>
  <si>
    <t>3510012801790003</t>
  </si>
  <si>
    <t>B 2171 BOO</t>
  </si>
  <si>
    <t>b</t>
  </si>
  <si>
    <t>BAGJA SANJAYA-126014</t>
  </si>
  <si>
    <t>SAFARUDIN</t>
  </si>
  <si>
    <t>ODRNO2607010110</t>
  </si>
  <si>
    <t>811PRS20260704439</t>
  </si>
  <si>
    <t>3215132604740003</t>
  </si>
  <si>
    <t>VERDY THAIB</t>
  </si>
  <si>
    <t>ODRNO2607010173</t>
  </si>
  <si>
    <t>811PRS20260704455</t>
  </si>
  <si>
    <t>2014</t>
  </si>
  <si>
    <t>3174010705790006</t>
  </si>
  <si>
    <t>JEFFRI STAVANUS M-326087</t>
  </si>
  <si>
    <t>KEMAYORAN</t>
  </si>
  <si>
    <t>Laurent Putra</t>
  </si>
  <si>
    <t>ODRNO2607010078</t>
  </si>
  <si>
    <t>801PRS20260700845</t>
  </si>
  <si>
    <t>MUHAMMAD RIZQY KEMAL</t>
  </si>
  <si>
    <t>3172061112950003</t>
  </si>
  <si>
    <t>BANDUNG PRASETYO-0626069</t>
  </si>
  <si>
    <t>Supriantono Syahputra Wijaya</t>
  </si>
  <si>
    <t>ODRNO2607010136</t>
  </si>
  <si>
    <t>801PRS20260700850</t>
  </si>
  <si>
    <t>1209191004890003</t>
  </si>
  <si>
    <t>ANTON RIA YANANTO-226215</t>
  </si>
  <si>
    <t>MANADO</t>
  </si>
  <si>
    <t>ANTONIUS WILLEM RAWUNG</t>
  </si>
  <si>
    <t>ODRNO2607010013</t>
  </si>
  <si>
    <t>828PRS20260700327</t>
  </si>
  <si>
    <t>BATIN E TUWUILU</t>
  </si>
  <si>
    <t>NISSAN</t>
  </si>
  <si>
    <t>2021</t>
  </si>
  <si>
    <t>7171090808760001</t>
  </si>
  <si>
    <t>db 1603 ag</t>
  </si>
  <si>
    <t>PINGKAN IRENE HERMANUS-226129</t>
  </si>
  <si>
    <t>OLDI OLIVER ROMPIS</t>
  </si>
  <si>
    <t>ODRNO2607010014</t>
  </si>
  <si>
    <t>828PRS20260700328</t>
  </si>
  <si>
    <t>2015</t>
  </si>
  <si>
    <t>7171022110840001</t>
  </si>
  <si>
    <t>db 1827 aj</t>
  </si>
  <si>
    <t>JENDRY INDRO GEORGE KOJONGIAN</t>
  </si>
  <si>
    <t>ODRNO2607010017</t>
  </si>
  <si>
    <t>828PRS20260700329</t>
  </si>
  <si>
    <t>MITSUBISHI</t>
  </si>
  <si>
    <t>2019</t>
  </si>
  <si>
    <t>7102132005920001</t>
  </si>
  <si>
    <t>db 1384 fe</t>
  </si>
  <si>
    <t>SANDI TRIYANA</t>
  </si>
  <si>
    <t>ODRNO2607020011</t>
  </si>
  <si>
    <t>813PRS20260705030</t>
  </si>
  <si>
    <t>3204132504940004</t>
  </si>
  <si>
    <t>ARIS YULIANSYAH HILMAN-126175</t>
  </si>
  <si>
    <t>RULY YULIANA</t>
  </si>
  <si>
    <t>ODRNO2607020031</t>
  </si>
  <si>
    <t>813PRS20260705037</t>
  </si>
  <si>
    <t>8131032600014</t>
  </si>
  <si>
    <t>813APP20260700009</t>
  </si>
  <si>
    <t>HONDA</t>
  </si>
  <si>
    <t>2013</t>
  </si>
  <si>
    <t xml:space="preserve">PINJAMAN BU ANA PASSENGER SUMBER SALES AGENT PAKET MANTUL REBORN - MODAL USAHA </t>
  </si>
  <si>
    <t>3205191412940004</t>
  </si>
  <si>
    <t>D 1732 UM</t>
  </si>
  <si>
    <t>DWI HARTO-226039</t>
  </si>
  <si>
    <t>M IQBAL SUTISNA</t>
  </si>
  <si>
    <t>ODRNO2607020044</t>
  </si>
  <si>
    <t>813PRS20260705039</t>
  </si>
  <si>
    <t>8131022600013</t>
  </si>
  <si>
    <t>813APP20260700012</t>
  </si>
  <si>
    <t>2017</t>
  </si>
  <si>
    <t>PINJAMAN BU ANA PASSENGER SUMBER SALES AGENT PAKET MANTUL REBORN</t>
  </si>
  <si>
    <t>6171032705920008</t>
  </si>
  <si>
    <t>D 1626 AFL</t>
  </si>
  <si>
    <t>MIGIE NASEPUL QURBANI-126025</t>
  </si>
  <si>
    <t>Elis Solihah</t>
  </si>
  <si>
    <t>ODRNO2607020095</t>
  </si>
  <si>
    <t>813PRS20260705044</t>
  </si>
  <si>
    <t>RISKI DALNI</t>
  </si>
  <si>
    <t>3204105012940006</t>
  </si>
  <si>
    <t>d</t>
  </si>
  <si>
    <t>ANTON SURYA DININGRAT-126084</t>
  </si>
  <si>
    <t>BANJARMASIN</t>
  </si>
  <si>
    <t>gairil</t>
  </si>
  <si>
    <t>ODRNO2607020051</t>
  </si>
  <si>
    <t>825PRS20260700444</t>
  </si>
  <si>
    <t>Yandi Irawan</t>
  </si>
  <si>
    <t>6310042411750001</t>
  </si>
  <si>
    <t>SURYANA</t>
  </si>
  <si>
    <t>ODRNO2607020138</t>
  </si>
  <si>
    <t>811PRS20260704469</t>
  </si>
  <si>
    <t>3171040812790002</t>
  </si>
  <si>
    <t>AHMAD CHAIRUL-126059</t>
  </si>
  <si>
    <t>MUHAMMAD SAIFUL BAHRI</t>
  </si>
  <si>
    <t>ODRNO2607020190</t>
  </si>
  <si>
    <t>811PRS20260704473</t>
  </si>
  <si>
    <t>3201372708980003</t>
  </si>
  <si>
    <t>RIFKI ARDIAN-126166</t>
  </si>
  <si>
    <t>BENGKULU</t>
  </si>
  <si>
    <t>hendra gunawan</t>
  </si>
  <si>
    <t>ODRNO2607020243</t>
  </si>
  <si>
    <t>809PRS20260701234</t>
  </si>
  <si>
    <t>ADE CHANDRA PANE</t>
  </si>
  <si>
    <t>2020</t>
  </si>
  <si>
    <t>1707081212900001</t>
  </si>
  <si>
    <t>bd 4959 er</t>
  </si>
  <si>
    <t>JONI PRANATA-126403</t>
  </si>
  <si>
    <t>DENPASAR</t>
  </si>
  <si>
    <t>I WAYAN WARGITA</t>
  </si>
  <si>
    <t>ODRNO2607020069</t>
  </si>
  <si>
    <t>821PRS20260700723</t>
  </si>
  <si>
    <t>I MADE BAGUS PUTRA WIRAPASTIKA S I KOM</t>
  </si>
  <si>
    <t>5171021612750004</t>
  </si>
  <si>
    <t>DK</t>
  </si>
  <si>
    <t>LAMPUNG</t>
  </si>
  <si>
    <t>suranti</t>
  </si>
  <si>
    <t>ODRNO2607020166</t>
  </si>
  <si>
    <t>810PRS20260700660</t>
  </si>
  <si>
    <t>AZWAN</t>
  </si>
  <si>
    <t>1801055011850012</t>
  </si>
  <si>
    <t>00000</t>
  </si>
  <si>
    <t>SUHENDRI SETIAWAN-126057</t>
  </si>
  <si>
    <t>nyoman kukuh rianto</t>
  </si>
  <si>
    <t>ODRNO2607020197</t>
  </si>
  <si>
    <t>810PRS20260700661</t>
  </si>
  <si>
    <t>810APP20260700016</t>
  </si>
  <si>
    <t>Return Handling</t>
  </si>
  <si>
    <t>Status Aplikasi sedang diajukan RETURN oleh Komite Kredit</t>
  </si>
  <si>
    <t>muhammad.hamedan</t>
  </si>
  <si>
    <t>1801070109860003</t>
  </si>
  <si>
    <t>0000</t>
  </si>
  <si>
    <t>99910000</t>
  </si>
  <si>
    <t>TOMMI CHINTYO GELLI-126008</t>
  </si>
  <si>
    <t>In Proses</t>
  </si>
  <si>
    <t>MEDAN DUA</t>
  </si>
  <si>
    <t>ERWIN CANDRA RANGKUTI</t>
  </si>
  <si>
    <t>ODRNO2607020021</t>
  </si>
  <si>
    <t>839PRS20260700863</t>
  </si>
  <si>
    <t>839APP20260700003</t>
  </si>
  <si>
    <t>WASTO SIHOMBING</t>
  </si>
  <si>
    <t xml:space="preserve">PINJAMAN BU ANA PASSENGER SUMBER SALES AGENT PAKET MANJIW REBORN - MODAL USAHA </t>
  </si>
  <si>
    <t>1271211006890001</t>
  </si>
  <si>
    <t>FANNY TRI WAHYUNI TANJUNG-126080</t>
  </si>
  <si>
    <t>WAGIMAN</t>
  </si>
  <si>
    <t>ODRNO2607020152</t>
  </si>
  <si>
    <t>839PRS20260700865</t>
  </si>
  <si>
    <t>1207261806690009</t>
  </si>
  <si>
    <t>HERRY BUDIANTO MANULLANG-126401</t>
  </si>
  <si>
    <t>PEKANBARU</t>
  </si>
  <si>
    <t>JUHELDI PRATAMA</t>
  </si>
  <si>
    <t>ODRNO2607020159</t>
  </si>
  <si>
    <t>805PRS20260702478</t>
  </si>
  <si>
    <t>MUHAMMAD RIDWAN</t>
  </si>
  <si>
    <t>1403030406960557</t>
  </si>
  <si>
    <t>WIWIN PRASETYA-126121</t>
  </si>
  <si>
    <t>SAMARINDA</t>
  </si>
  <si>
    <t>MATHIUS JEFRIE</t>
  </si>
  <si>
    <t>ODRNO2607020098</t>
  </si>
  <si>
    <t>823PRS20260700356</t>
  </si>
  <si>
    <t>Telemarketing Program</t>
  </si>
  <si>
    <t>BAYU SAPUTRA</t>
  </si>
  <si>
    <t>6408042608930002</t>
  </si>
  <si>
    <t>Tele</t>
  </si>
  <si>
    <t>SURABAYA SATU</t>
  </si>
  <si>
    <t>dimas endar christa pahlawan</t>
  </si>
  <si>
    <t>ODRNO2607020085</t>
  </si>
  <si>
    <t>819PRS20260700993</t>
  </si>
  <si>
    <t>8191022600009</t>
  </si>
  <si>
    <t>819APP20260700006</t>
  </si>
  <si>
    <t>PONDRA PUJIONO</t>
  </si>
  <si>
    <t>FORD</t>
  </si>
  <si>
    <t>anggun.wibowo</t>
  </si>
  <si>
    <t>3515162312860002</t>
  </si>
  <si>
    <t>W 1432 QG</t>
  </si>
  <si>
    <t>xxxxxx</t>
  </si>
  <si>
    <t>MOHAMAD NGAFIF</t>
  </si>
  <si>
    <t>ODRNO2607030054</t>
  </si>
  <si>
    <t>838PRS20260702417</t>
  </si>
  <si>
    <t>8381032600024</t>
  </si>
  <si>
    <t>838APP20260700015</t>
  </si>
  <si>
    <t>SALES AGENT DUMMY</t>
  </si>
  <si>
    <t>2025</t>
  </si>
  <si>
    <t>3603180309710003</t>
  </si>
  <si>
    <t>A 1450 VUA</t>
  </si>
  <si>
    <t>ABID HAIKAL AFIFI</t>
  </si>
  <si>
    <t>ODRNO2607030055</t>
  </si>
  <si>
    <t>838PRS20260702418</t>
  </si>
  <si>
    <t>3603180503050001</t>
  </si>
  <si>
    <t>Ratna Komala</t>
  </si>
  <si>
    <t>ODRNO2607030016</t>
  </si>
  <si>
    <t>813PRS20260705061</t>
  </si>
  <si>
    <t>boyke.nugraha</t>
  </si>
  <si>
    <t>3203074302760012</t>
  </si>
  <si>
    <t>HERNA SIGIRO-126305</t>
  </si>
  <si>
    <t>MUHAMAD RIVAN APRIANTO</t>
  </si>
  <si>
    <t>ODRNO2607030062</t>
  </si>
  <si>
    <t>813PRS20260705068</t>
  </si>
  <si>
    <t>3273222604930001</t>
  </si>
  <si>
    <t>E 1750 NE</t>
  </si>
  <si>
    <t>FENDI RUSNANDI SH-126315</t>
  </si>
  <si>
    <t>DENI PARDANI</t>
  </si>
  <si>
    <t>ODRNO2607030100</t>
  </si>
  <si>
    <t>813PRS20260705075</t>
  </si>
  <si>
    <t>3204290605820004</t>
  </si>
  <si>
    <t>Getty Amanu Suciati</t>
  </si>
  <si>
    <t>ODRNO2607030135</t>
  </si>
  <si>
    <t>813PRS20260705080</t>
  </si>
  <si>
    <t>3204105904790002</t>
  </si>
  <si>
    <t>HANAN MULYANA-0626048</t>
  </si>
  <si>
    <t>Alfi</t>
  </si>
  <si>
    <t>ODRNO2607030141</t>
  </si>
  <si>
    <t>813PRS20260705082</t>
  </si>
  <si>
    <t>3211150207890006</t>
  </si>
  <si>
    <t>REZA KURNIAWAN-0626057</t>
  </si>
  <si>
    <t>nur samsidar</t>
  </si>
  <si>
    <t>ODRNO2607030088</t>
  </si>
  <si>
    <t>806PRS20260702006</t>
  </si>
  <si>
    <t>ANDINA WAHYUNI PUSPITASARI</t>
  </si>
  <si>
    <t>2171026004829002</t>
  </si>
  <si>
    <t>BP1486RD</t>
  </si>
  <si>
    <t>FAHREZA PERKASA ALAM-0726005</t>
  </si>
  <si>
    <t>m imron andrianto</t>
  </si>
  <si>
    <t>ODRNO2607030102</t>
  </si>
  <si>
    <t>811PRS20260704491</t>
  </si>
  <si>
    <t>3174071306660003</t>
  </si>
  <si>
    <t>arya geni utama</t>
  </si>
  <si>
    <t>ODRNO2607030155</t>
  </si>
  <si>
    <t>811PRS20260704501</t>
  </si>
  <si>
    <t>3216061711880002</t>
  </si>
  <si>
    <t>ALEXANDER MARCEL-326017</t>
  </si>
  <si>
    <t>BOGOR</t>
  </si>
  <si>
    <t>MAD LOMRI</t>
  </si>
  <si>
    <t>ODRNO2607030097</t>
  </si>
  <si>
    <t>812PRS20260701269</t>
  </si>
  <si>
    <t>8121022600022</t>
  </si>
  <si>
    <t>812APP20260700008</t>
  </si>
  <si>
    <t>EKA SUNARYO</t>
  </si>
  <si>
    <t>3201182706770002</t>
  </si>
  <si>
    <t>F 1261 KX</t>
  </si>
  <si>
    <t>HERI CAHYADI-0726007</t>
  </si>
  <si>
    <t>dedi hartono</t>
  </si>
  <si>
    <t>ODRNO2607030160</t>
  </si>
  <si>
    <t>810PRS20260700664</t>
  </si>
  <si>
    <t>1871010109850008</t>
  </si>
  <si>
    <t>REGY YUDHISTIRA BRILLIAN-126176</t>
  </si>
  <si>
    <t>lorensia</t>
  </si>
  <si>
    <t>ODRNO2607030183</t>
  </si>
  <si>
    <t>810PRS20260700665</t>
  </si>
  <si>
    <t>810APP20260700006</t>
  </si>
  <si>
    <t>1871095104910002</t>
  </si>
  <si>
    <t>81310196</t>
  </si>
  <si>
    <t>BARRON NUGROHO AL AMIN-126016</t>
  </si>
  <si>
    <t>ANGGUN SURYA</t>
  </si>
  <si>
    <t>ODRNO2607030078</t>
  </si>
  <si>
    <t>839PRS20260700871</t>
  </si>
  <si>
    <t>8391032600016</t>
  </si>
  <si>
    <t>839APP20260700008</t>
  </si>
  <si>
    <t>CF PINJAMAN BU ANA MOBIL JAPAN RO CUSTOMER - MODAL USAHA</t>
  </si>
  <si>
    <t>1207232702910004</t>
  </si>
  <si>
    <t>BK 1484 ADG</t>
  </si>
  <si>
    <t>LINDA SOLIANTI SIHOTANG</t>
  </si>
  <si>
    <t>ODRNO2607030132</t>
  </si>
  <si>
    <t>839PRS20260700872</t>
  </si>
  <si>
    <t>1271074207800002</t>
  </si>
  <si>
    <t>PALANGKARAYA</t>
  </si>
  <si>
    <t>KAMSINI</t>
  </si>
  <si>
    <t>ODRNO2607030158</t>
  </si>
  <si>
    <t>829PRS20260701778</t>
  </si>
  <si>
    <t>8291032600005</t>
  </si>
  <si>
    <t>829APP20260700028</t>
  </si>
  <si>
    <t>RUSDHY</t>
  </si>
  <si>
    <t>raffi.shidiq</t>
  </si>
  <si>
    <t>Recommended / not survey</t>
  </si>
  <si>
    <t>6271045607690002</t>
  </si>
  <si>
    <t>KH 1180 BE</t>
  </si>
  <si>
    <t>-</t>
  </si>
  <si>
    <t>HERIYADI-326036</t>
  </si>
  <si>
    <t>JHON SEFRI</t>
  </si>
  <si>
    <t>ODRNO2607030212</t>
  </si>
  <si>
    <t>805PRS20260702494</t>
  </si>
  <si>
    <t>8051032600016</t>
  </si>
  <si>
    <t>805APP20260700038</t>
  </si>
  <si>
    <t>1409082506810002</t>
  </si>
  <si>
    <t>B 1644 PJQ</t>
  </si>
  <si>
    <t>DIMAS PAUNDRA-226040</t>
  </si>
  <si>
    <t>SEMARANG</t>
  </si>
  <si>
    <t>DWI PRIHANTO SIK</t>
  </si>
  <si>
    <t>ODRNO2607030012</t>
  </si>
  <si>
    <t>816PRS20260700603</t>
  </si>
  <si>
    <t>SIGIT SUBEKTI</t>
  </si>
  <si>
    <t>2023</t>
  </si>
  <si>
    <t>8271061408720003</t>
  </si>
  <si>
    <t>h 6666 hhh</t>
  </si>
  <si>
    <t>PUNTA WIJAYANTO-226058</t>
  </si>
  <si>
    <t>ODRNO2607030184</t>
  </si>
  <si>
    <t>816PRS20260700605</t>
  </si>
  <si>
    <t>8161022600002</t>
  </si>
  <si>
    <t>816APP20260700018</t>
  </si>
  <si>
    <t>ahmad.fauzi</t>
  </si>
  <si>
    <t>B 2078 UFS</t>
  </si>
  <si>
    <t>h 7778 hhh</t>
  </si>
  <si>
    <t>ARDIAN KUSUMA ATMAJA-0726004</t>
  </si>
  <si>
    <t>NINA NURFIAH</t>
  </si>
  <si>
    <t>ODRNO2607040078</t>
  </si>
  <si>
    <t>813PRS20260705102</t>
  </si>
  <si>
    <t>3204325308800004</t>
  </si>
  <si>
    <t>D 1651ABB</t>
  </si>
  <si>
    <t>Adi Maulana Malik</t>
  </si>
  <si>
    <t>ODRNO2607040106</t>
  </si>
  <si>
    <t>813PRS20260705107</t>
  </si>
  <si>
    <t>3217080209810003</t>
  </si>
  <si>
    <t>RONI PERMANA-0626041</t>
  </si>
  <si>
    <t>Edwin Pahala Silaban</t>
  </si>
  <si>
    <t>ODRNO2607040110</t>
  </si>
  <si>
    <t>813PRS20260705108</t>
  </si>
  <si>
    <t>3217042711890003</t>
  </si>
  <si>
    <t>AHMAD ZAENI-0626025</t>
  </si>
  <si>
    <t>ABA SURDI</t>
  </si>
  <si>
    <t>ODRNO2607040047</t>
  </si>
  <si>
    <t>812PRS20260701276</t>
  </si>
  <si>
    <t>SENJAYA BUDIMAN</t>
  </si>
  <si>
    <t>3271020812750008</t>
  </si>
  <si>
    <t>F</t>
  </si>
  <si>
    <t>ADI SUTEJO SE-526006</t>
  </si>
  <si>
    <t>darmanto</t>
  </si>
  <si>
    <t>ODRNO2607040076</t>
  </si>
  <si>
    <t>810PRS20260700668</t>
  </si>
  <si>
    <t>1809020404840013</t>
  </si>
  <si>
    <t>SAMSUL MUNIR-126015</t>
  </si>
  <si>
    <t>REGINA MARLIA DLAYA SENDUK S.Pd</t>
  </si>
  <si>
    <t>ODRNO2607040018</t>
  </si>
  <si>
    <t>828PRS20260700330</t>
  </si>
  <si>
    <t>7102184901880001</t>
  </si>
  <si>
    <t>db 1492 av</t>
  </si>
  <si>
    <t>FEBRIAN HIZKIA KEREH-0626050</t>
  </si>
  <si>
    <t>VALDYA PESCARA JANES BENDRI HAMEL</t>
  </si>
  <si>
    <t>ODRNO2607040023</t>
  </si>
  <si>
    <t>828PRS20260700331</t>
  </si>
  <si>
    <t>7171060301930002</t>
  </si>
  <si>
    <t>db 1582 fj</t>
  </si>
  <si>
    <t>DECKY ROBERT NATANAEL LANTEMONA</t>
  </si>
  <si>
    <t>ODRNO2607040028</t>
  </si>
  <si>
    <t>828PRS20260700332</t>
  </si>
  <si>
    <t>7171092512750003</t>
  </si>
  <si>
    <t>db 1205 ax</t>
  </si>
  <si>
    <t>VERA MANDASARI MANURUNG</t>
  </si>
  <si>
    <t>ODRNO2607040071</t>
  </si>
  <si>
    <t>839PRS20260700878</t>
  </si>
  <si>
    <t>1271095607910001</t>
  </si>
  <si>
    <t>SUKABUMI</t>
  </si>
  <si>
    <t>adin solahudin</t>
  </si>
  <si>
    <t>ODRNO2607040019</t>
  </si>
  <si>
    <t>841PRS20260701170</t>
  </si>
  <si>
    <t>3202321212960001</t>
  </si>
  <si>
    <t>ff</t>
  </si>
  <si>
    <t>A A GEDE BAGUS PUTRA WIRAWAN-0626024</t>
  </si>
  <si>
    <t>SENSWEDY</t>
  </si>
  <si>
    <t>ODRNO2607050019</t>
  </si>
  <si>
    <t>811PRS20260704545</t>
  </si>
  <si>
    <t>3216182207710001</t>
  </si>
  <si>
    <t>MUHAMAD ILYAS-526007</t>
  </si>
  <si>
    <t>GREGORIUS ALAM</t>
  </si>
  <si>
    <t>ODRNO2607060275</t>
  </si>
  <si>
    <t>838PRS20260702453</t>
  </si>
  <si>
    <t>8381022600040</t>
  </si>
  <si>
    <t>838APP20260700047</t>
  </si>
  <si>
    <t>RUDY.ASIANTOSATU</t>
  </si>
  <si>
    <t>CF PINJAMAN BU ANA MOBIL JAPAN RO CUSTOMER</t>
  </si>
  <si>
    <t>3172051303640002</t>
  </si>
  <si>
    <t>B 2278 FKV</t>
  </si>
  <si>
    <t>UJANG HABUDIN</t>
  </si>
  <si>
    <t>ODRNO2607060070</t>
  </si>
  <si>
    <t>813PRS20260705137</t>
  </si>
  <si>
    <t>813APP20260700026</t>
  </si>
  <si>
    <t>3217102206850011</t>
  </si>
  <si>
    <t>Yana Mulyana</t>
  </si>
  <si>
    <t>ODRNO2607060082</t>
  </si>
  <si>
    <t>813PRS20260705140</t>
  </si>
  <si>
    <t>813APP20260700051</t>
  </si>
  <si>
    <t>3205390505870002</t>
  </si>
  <si>
    <t>D</t>
  </si>
  <si>
    <t>ARIF AJI HARNIKO-0726009</t>
  </si>
  <si>
    <t>AGUS NURJANTO</t>
  </si>
  <si>
    <t>ODRNO2607060083</t>
  </si>
  <si>
    <t>813PRS20260705141</t>
  </si>
  <si>
    <t>3273290608660002</t>
  </si>
  <si>
    <t>D 1527 OV</t>
  </si>
  <si>
    <t>DODI HERMAWAN-526015</t>
  </si>
  <si>
    <t>Ratna Juwita</t>
  </si>
  <si>
    <t>ODRNO2607060198</t>
  </si>
  <si>
    <t>813PRS20260705159</t>
  </si>
  <si>
    <t>3206057012960001</t>
  </si>
  <si>
    <t>Billy Clinton Andira Gandasaputra</t>
  </si>
  <si>
    <t>ODRNO2607060217</t>
  </si>
  <si>
    <t>813PRS20260705160</t>
  </si>
  <si>
    <t>3271050702930010</t>
  </si>
  <si>
    <t>ANDRI HARTAMAN</t>
  </si>
  <si>
    <t>ODRNO2607060271</t>
  </si>
  <si>
    <t>813PRS20260705167</t>
  </si>
  <si>
    <t>3277030509800017</t>
  </si>
  <si>
    <t>DETU WAHYU PRAMONO</t>
  </si>
  <si>
    <t>ODRNO2607060207</t>
  </si>
  <si>
    <t>811PRS20260704579</t>
  </si>
  <si>
    <t>8111022600025</t>
  </si>
  <si>
    <t>811APP20260700026</t>
  </si>
  <si>
    <t>3173010112771003</t>
  </si>
  <si>
    <t>B 2703 UOI</t>
  </si>
  <si>
    <t>erni yusnita se</t>
  </si>
  <si>
    <t>ODRNO2607060106</t>
  </si>
  <si>
    <t>809PRS20260701240</t>
  </si>
  <si>
    <t>1701054609750002</t>
  </si>
  <si>
    <t>bd 5888 dr</t>
  </si>
  <si>
    <t>BLEDUG HANGGONO-126010</t>
  </si>
  <si>
    <t>TOPAN SOPYAN</t>
  </si>
  <si>
    <t>ODRNO2607060233</t>
  </si>
  <si>
    <t>812PRS20260701289</t>
  </si>
  <si>
    <t>3201271808890011</t>
  </si>
  <si>
    <t>suhaidi</t>
  </si>
  <si>
    <t>ODRNO2607060162</t>
  </si>
  <si>
    <t>810PRS20260700670</t>
  </si>
  <si>
    <t>2008</t>
  </si>
  <si>
    <t>1801043010620003</t>
  </si>
  <si>
    <t>MURNI ASIH-126120</t>
  </si>
  <si>
    <t>deson taria</t>
  </si>
  <si>
    <t>ODRNO2607060246</t>
  </si>
  <si>
    <t>810PRS20260700672</t>
  </si>
  <si>
    <t>180801047860003</t>
  </si>
  <si>
    <t>RIFKI ARDIANSYAH-326001</t>
  </si>
  <si>
    <t>ARDIANSYAH PUTRA LUBIS</t>
  </si>
  <si>
    <t>ODRNO2607060244</t>
  </si>
  <si>
    <t>839PRS20260700889</t>
  </si>
  <si>
    <t>1271151707880001</t>
  </si>
  <si>
    <t>SUHERU</t>
  </si>
  <si>
    <t>ODRNO2607060247</t>
  </si>
  <si>
    <t>839PRS20260700890</t>
  </si>
  <si>
    <t>1207332105870001</t>
  </si>
  <si>
    <t>ALEXANDER SIREGAR-126373</t>
  </si>
  <si>
    <t>INDRA BETANIAHU</t>
  </si>
  <si>
    <t>ODRNO2607060250</t>
  </si>
  <si>
    <t>839PRS20260700891</t>
  </si>
  <si>
    <t>1102020610970001</t>
  </si>
  <si>
    <t>MAWARDI</t>
  </si>
  <si>
    <t>ODRNO2607060252</t>
  </si>
  <si>
    <t>839PRS20260700892</t>
  </si>
  <si>
    <t>1207253103850004</t>
  </si>
  <si>
    <t>JULIANUS SIMATUPANG</t>
  </si>
  <si>
    <t>ODRNO2607060155</t>
  </si>
  <si>
    <t>805PRS20260702509</t>
  </si>
  <si>
    <t>8051032600014</t>
  </si>
  <si>
    <t>805APP20260700014</t>
  </si>
  <si>
    <t>1471111404800041</t>
  </si>
  <si>
    <t>BM 1170 OA</t>
  </si>
  <si>
    <t>MUHAMMAD RAMLI-226112</t>
  </si>
  <si>
    <t>ISMAIL SARLATA</t>
  </si>
  <si>
    <t>ODRNO2607060267</t>
  </si>
  <si>
    <t>805PRS20260702514</t>
  </si>
  <si>
    <t>2024</t>
  </si>
  <si>
    <t>1471122504790022</t>
  </si>
  <si>
    <t>INDRA</t>
  </si>
  <si>
    <t>ODRNO2607060236</t>
  </si>
  <si>
    <t>823PRS20260700367</t>
  </si>
  <si>
    <t>8231032600004</t>
  </si>
  <si>
    <t>823APP20260700011</t>
  </si>
  <si>
    <t>andri.mahcfud</t>
  </si>
  <si>
    <t>6402031702000002</t>
  </si>
  <si>
    <t>KT 1129 CQ</t>
  </si>
  <si>
    <t>YANTO-226144</t>
  </si>
  <si>
    <t>ANDRIANI</t>
  </si>
  <si>
    <t>ODRNO2607060243</t>
  </si>
  <si>
    <t>823PRS20260700368</t>
  </si>
  <si>
    <t>6402112708840001</t>
  </si>
  <si>
    <t>putra mega nata</t>
  </si>
  <si>
    <t>ODRNO2607060171</t>
  </si>
  <si>
    <t>819PRS20260700998</t>
  </si>
  <si>
    <t>8191022600010</t>
  </si>
  <si>
    <t>819APP20260700008</t>
  </si>
  <si>
    <t>3515131105880006</t>
  </si>
  <si>
    <t>W 1392 XF</t>
  </si>
  <si>
    <t>xxxxxxx</t>
  </si>
  <si>
    <t>MOH MAULUDDIN AFANDI-226023</t>
  </si>
  <si>
    <t>Ivan Prabumi</t>
  </si>
  <si>
    <t>ODRNO2607070076</t>
  </si>
  <si>
    <t>813PRS20260705177</t>
  </si>
  <si>
    <t>BYD</t>
  </si>
  <si>
    <t>3273140907830006</t>
  </si>
  <si>
    <t>DEAMPSY SATRIA SWAWIBAWA-0626032</t>
  </si>
  <si>
    <t>HJ NUNUNG HARTINI</t>
  </si>
  <si>
    <t>ODRNO2607070098</t>
  </si>
  <si>
    <t>813PRS20260705180</t>
  </si>
  <si>
    <t>8131022600014</t>
  </si>
  <si>
    <t>813APP20260700040</t>
  </si>
  <si>
    <t>3273236905710003</t>
  </si>
  <si>
    <t>D 888 NNN</t>
  </si>
  <si>
    <t>MASDAR</t>
  </si>
  <si>
    <t>ODRNO2607070130</t>
  </si>
  <si>
    <t>813PRS20260705181</t>
  </si>
  <si>
    <t>3204291011780002</t>
  </si>
  <si>
    <t>INDRA PERMANA-426022</t>
  </si>
  <si>
    <t>POLMAR LUMBAN GAOL</t>
  </si>
  <si>
    <t>ODRNO2607070112</t>
  </si>
  <si>
    <t>811PRS20260704593</t>
  </si>
  <si>
    <t>3275010801810022</t>
  </si>
  <si>
    <t>TONO FEBRIANTO PUTRA-126379</t>
  </si>
  <si>
    <t>gusti</t>
  </si>
  <si>
    <t>ODRNO2607070200</t>
  </si>
  <si>
    <t>809PRS20260701255</t>
  </si>
  <si>
    <t>2012</t>
  </si>
  <si>
    <t>1705020508830001</t>
  </si>
  <si>
    <t>ANITA TORISIA-126122</t>
  </si>
  <si>
    <t>ANGGIE NATALIA SIREGAR</t>
  </si>
  <si>
    <t>ODRNO2607070001</t>
  </si>
  <si>
    <t>812PRS20260701293</t>
  </si>
  <si>
    <t>3172026705010003</t>
  </si>
  <si>
    <t>ADE DJOHARI-326169</t>
  </si>
  <si>
    <t>ENDAH SUPRIYATI</t>
  </si>
  <si>
    <t>ODRNO2607070207</t>
  </si>
  <si>
    <t>812PRS20260701302</t>
  </si>
  <si>
    <t>anton.fermady</t>
  </si>
  <si>
    <t>3171084304680002</t>
  </si>
  <si>
    <t>AGUNG PAMBUDI-226147</t>
  </si>
  <si>
    <t>ANDRI PRATAMA</t>
  </si>
  <si>
    <t>ODRNO2607070230</t>
  </si>
  <si>
    <t>812PRS20260701303</t>
  </si>
  <si>
    <t>7601092807900001</t>
  </si>
  <si>
    <t>YUSUF MUTTAQIN-0626062</t>
  </si>
  <si>
    <t>mars yaris nazar</t>
  </si>
  <si>
    <t>ODRNO2607070122</t>
  </si>
  <si>
    <t>810PRS20260700675</t>
  </si>
  <si>
    <t>1871122203900007</t>
  </si>
  <si>
    <t>hadi wibowo</t>
  </si>
  <si>
    <t>ODRNO2607070183</t>
  </si>
  <si>
    <t>810PRS20260700679</t>
  </si>
  <si>
    <t>1802062704840002</t>
  </si>
  <si>
    <t>DAENG MAREWA-126237</t>
  </si>
  <si>
    <t>RIKO TUNAS</t>
  </si>
  <si>
    <t>ODRNO2607070117</t>
  </si>
  <si>
    <t>828PRS20260700333</t>
  </si>
  <si>
    <t>7171070104880001</t>
  </si>
  <si>
    <t>db 8274 af</t>
  </si>
  <si>
    <t>MEIDY JUFRY RIANTO SENEWE-0626009</t>
  </si>
  <si>
    <t>Hernando</t>
  </si>
  <si>
    <t>ODRNO2607070017</t>
  </si>
  <si>
    <t>829PRS20260701793</t>
  </si>
  <si>
    <t>8291022600002</t>
  </si>
  <si>
    <t>829APP20260700014</t>
  </si>
  <si>
    <t>M RIZKO MAULANA</t>
  </si>
  <si>
    <t>6213050812910001</t>
  </si>
  <si>
    <t>KH 1529 YA</t>
  </si>
  <si>
    <t>EDI SUSILO-126242</t>
  </si>
  <si>
    <t>PALEMBANG</t>
  </si>
  <si>
    <t>MUHAMMAD SULTAN</t>
  </si>
  <si>
    <t>ODRNO2607070058</t>
  </si>
  <si>
    <t>808PRS20260701763</t>
  </si>
  <si>
    <t>8081032600013</t>
  </si>
  <si>
    <t>808APP20260700023</t>
  </si>
  <si>
    <t>FEBI ARISANDI SH</t>
  </si>
  <si>
    <t>riski.herlambang</t>
  </si>
  <si>
    <t>1607010704930006</t>
  </si>
  <si>
    <t>BG 1315 NH</t>
  </si>
  <si>
    <t>WAHYU HIDAYAT-226081</t>
  </si>
  <si>
    <t>PONTIANAK</t>
  </si>
  <si>
    <t>NOVENDRA</t>
  </si>
  <si>
    <t>ODRNO2607070088</t>
  </si>
  <si>
    <t>822PRS20260700391</t>
  </si>
  <si>
    <t>SO SYOPIYAN</t>
  </si>
  <si>
    <t>6101101911730001</t>
  </si>
  <si>
    <t>kb 1233 nb</t>
  </si>
  <si>
    <t>OKSAN</t>
  </si>
  <si>
    <t>ODRNO2607080057</t>
  </si>
  <si>
    <t>838PRS20260702478</t>
  </si>
  <si>
    <t>3671040802800003</t>
  </si>
  <si>
    <t>APRILLIA ANGGRAENI-126005</t>
  </si>
  <si>
    <t>MELANIA</t>
  </si>
  <si>
    <t>ODRNO2607080061</t>
  </si>
  <si>
    <t>838PRS20260702480</t>
  </si>
  <si>
    <t>3671116703900005</t>
  </si>
  <si>
    <t>FADLI ZAMZAMI</t>
  </si>
  <si>
    <t>ODRNO2607080072</t>
  </si>
  <si>
    <t>838PRS20260702483</t>
  </si>
  <si>
    <t>3275111208780004</t>
  </si>
  <si>
    <t>DEDE SURYADI-126003</t>
  </si>
  <si>
    <t>SUPARDIYONO</t>
  </si>
  <si>
    <t>ODRNO2607080121</t>
  </si>
  <si>
    <t>838PRS20260702487</t>
  </si>
  <si>
    <t>8381022600038</t>
  </si>
  <si>
    <t>838APP20260700032</t>
  </si>
  <si>
    <t>3671010609700001</t>
  </si>
  <si>
    <t>A 1846 ZB</t>
  </si>
  <si>
    <t>ERWIN TANJUNG</t>
  </si>
  <si>
    <t>ODRNO2607080173</t>
  </si>
  <si>
    <t>838PRS20260702488</t>
  </si>
  <si>
    <t>838APP20260700033</t>
  </si>
  <si>
    <t>jansen.halim</t>
  </si>
  <si>
    <t>3674021208880007</t>
  </si>
  <si>
    <t>B 2027 SYL</t>
  </si>
  <si>
    <t>Seno Bumi Munajat</t>
  </si>
  <si>
    <t>ODRNO2607080089</t>
  </si>
  <si>
    <t>813PRS20260705211</t>
  </si>
  <si>
    <t>3217091506960019</t>
  </si>
  <si>
    <t>H MUHAMMAD DARMAWAN</t>
  </si>
  <si>
    <t>ODRNO2607080125</t>
  </si>
  <si>
    <t>813PRS20260705215</t>
  </si>
  <si>
    <t>32732326117100005</t>
  </si>
  <si>
    <t>MUHAMAD ADRI ABIDARDA-126390</t>
  </si>
  <si>
    <t>ENDY SETYA</t>
  </si>
  <si>
    <t>ODRNO2607080062</t>
  </si>
  <si>
    <t>811PRS20260704619</t>
  </si>
  <si>
    <t>3216022505800020</t>
  </si>
  <si>
    <t>MUHAMAD MAHPUD</t>
  </si>
  <si>
    <t>ODRNO2607080180</t>
  </si>
  <si>
    <t>811PRS20260704630</t>
  </si>
  <si>
    <t>3275082201830019</t>
  </si>
  <si>
    <t>BAYU DWI YULIYANTO</t>
  </si>
  <si>
    <t>ODRNO2607080196</t>
  </si>
  <si>
    <t>811PRS20260704631</t>
  </si>
  <si>
    <t>3275030207990022</t>
  </si>
  <si>
    <t>hery purnomo</t>
  </si>
  <si>
    <t>ODRNO2607080175</t>
  </si>
  <si>
    <t>809PRS20260701257</t>
  </si>
  <si>
    <t>8091032600011</t>
  </si>
  <si>
    <t>809APP20260700006</t>
  </si>
  <si>
    <t>1771061111790005</t>
  </si>
  <si>
    <t>BD 9314 AW</t>
  </si>
  <si>
    <t>bd 4958 er</t>
  </si>
  <si>
    <t>IMSON SAHRI-126370</t>
  </si>
  <si>
    <t>ZAKARIA WINANJAR</t>
  </si>
  <si>
    <t>ODRNO2607080204</t>
  </si>
  <si>
    <t>812PRS20260701310</t>
  </si>
  <si>
    <t>3271041801910011</t>
  </si>
  <si>
    <t>TIO PUTRA UTAMA-0626006</t>
  </si>
  <si>
    <t>CRIST HANDY WINATA</t>
  </si>
  <si>
    <t>ODRNO2607080240</t>
  </si>
  <si>
    <t>812PRS20260701312</t>
  </si>
  <si>
    <t>1971041507940002</t>
  </si>
  <si>
    <t>RULLY OKTAFIAN-526004</t>
  </si>
  <si>
    <t>arya ajie permana</t>
  </si>
  <si>
    <t>ODRNO2607080107</t>
  </si>
  <si>
    <t>810PRS20260700681</t>
  </si>
  <si>
    <t>3674022502010011</t>
  </si>
  <si>
    <t>BADILLAH NUR YUNUS-126123</t>
  </si>
  <si>
    <t>sofian kenedy</t>
  </si>
  <si>
    <t>ODRNO2607080193</t>
  </si>
  <si>
    <t>810PRS20260700682</t>
  </si>
  <si>
    <t>1871110505760006</t>
  </si>
  <si>
    <t>dony satria</t>
  </si>
  <si>
    <t>ODRNO2607080217</t>
  </si>
  <si>
    <t>810PRS20260700683</t>
  </si>
  <si>
    <t>810APP20260700021</t>
  </si>
  <si>
    <t>Final Cancel</t>
  </si>
  <si>
    <t>Status Aplikasi sudah Final Cancel</t>
  </si>
  <si>
    <t>1801042910020004</t>
  </si>
  <si>
    <t>AZHARI SYUHADA</t>
  </si>
  <si>
    <t>ODRNO2607080097</t>
  </si>
  <si>
    <t>805PRS20260702545</t>
  </si>
  <si>
    <t>805APP20260700052</t>
  </si>
  <si>
    <t>1401111711970005</t>
  </si>
  <si>
    <t>YAN HERY SHYAPUTRA SIREGAR-226123</t>
  </si>
  <si>
    <t>RULLY SRI RAMA</t>
  </si>
  <si>
    <t>ODRNO2607080189</t>
  </si>
  <si>
    <t>805PRS20260702553</t>
  </si>
  <si>
    <t>1403122108729623</t>
  </si>
  <si>
    <t>FAJAR TRILISTA-126311</t>
  </si>
  <si>
    <t>KOMARUDDIN</t>
  </si>
  <si>
    <t>ODRNO2607080213</t>
  </si>
  <si>
    <t>805PRS20260702554</t>
  </si>
  <si>
    <t>1407032506900003</t>
  </si>
  <si>
    <t>LANDRI PRATAMA</t>
  </si>
  <si>
    <t>ODRNO2607080215</t>
  </si>
  <si>
    <t>805PRS20260702555</t>
  </si>
  <si>
    <t>8051032600015</t>
  </si>
  <si>
    <t>805APP20260700042</t>
  </si>
  <si>
    <t>1407052909930004</t>
  </si>
  <si>
    <t>BM 1998 OX</t>
  </si>
  <si>
    <t>AHMAD FAIZAL ABADI</t>
  </si>
  <si>
    <t>ODRNO2607080032</t>
  </si>
  <si>
    <t>816PRS20260700611</t>
  </si>
  <si>
    <t>3316052604960001</t>
  </si>
  <si>
    <t>h 8888 hhh</t>
  </si>
  <si>
    <t>heny anggraeni</t>
  </si>
  <si>
    <t>ODRNO2607080188</t>
  </si>
  <si>
    <t>819PRS20260701004</t>
  </si>
  <si>
    <t>819APP20260700012</t>
  </si>
  <si>
    <t>3514116102860001</t>
  </si>
  <si>
    <t>XXXXXXX</t>
  </si>
  <si>
    <t>RYAN ADHI TRIATMAJA-126275</t>
  </si>
  <si>
    <t>VINEKE JULIANA DAGALI</t>
  </si>
  <si>
    <t>ODRNO2607090152</t>
  </si>
  <si>
    <t>838PRS20260702501</t>
  </si>
  <si>
    <t>8381022600039</t>
  </si>
  <si>
    <t>838APP20260700042</t>
  </si>
  <si>
    <t>3603116207720004</t>
  </si>
  <si>
    <t>B 1614 CMP</t>
  </si>
  <si>
    <t>RINA MARIANA</t>
  </si>
  <si>
    <t>ODRNO2607090121</t>
  </si>
  <si>
    <t>813PRS20260705239</t>
  </si>
  <si>
    <t>3277036711810022</t>
  </si>
  <si>
    <t>NDARU PURNOMO-126280</t>
  </si>
  <si>
    <t>RIZKY AGUSTAMI</t>
  </si>
  <si>
    <t>ODRNO2607090174</t>
  </si>
  <si>
    <t>813PRS20260705243</t>
  </si>
  <si>
    <t>KIA</t>
  </si>
  <si>
    <t>1871122408910002</t>
  </si>
  <si>
    <t>YUAN FIRDAUS-526018</t>
  </si>
  <si>
    <t>RIZSKY AGUSTAMI</t>
  </si>
  <si>
    <t>ODRNO2607090179</t>
  </si>
  <si>
    <t>813PRS20260705244</t>
  </si>
  <si>
    <t>Rachmat Mulyana</t>
  </si>
  <si>
    <t>ODRNO2607090201</t>
  </si>
  <si>
    <t>813PRS20260705250</t>
  </si>
  <si>
    <t>3277010505710062</t>
  </si>
  <si>
    <t>Dina Andriana</t>
  </si>
  <si>
    <t>ODRNO2607090203</t>
  </si>
  <si>
    <t>813PRS20260705251</t>
  </si>
  <si>
    <t>3273235408810003</t>
  </si>
  <si>
    <t>BANGKA</t>
  </si>
  <si>
    <t>hendro nirwanto</t>
  </si>
  <si>
    <t>ODRNO2607090170</t>
  </si>
  <si>
    <t>836PRS20260700507</t>
  </si>
  <si>
    <t>GUNTUR SAPUTRA</t>
  </si>
  <si>
    <t>1608152005920002</t>
  </si>
  <si>
    <t>ERIK AFLORA-126337</t>
  </si>
  <si>
    <t>murniati</t>
  </si>
  <si>
    <t>ODRNO2607090020</t>
  </si>
  <si>
    <t>806PRS20260702090</t>
  </si>
  <si>
    <t>WELLY PRIMA SANDI</t>
  </si>
  <si>
    <t>LEXUS</t>
  </si>
  <si>
    <t>2171104101700001</t>
  </si>
  <si>
    <t>ADINDA RAHMAN SITANGGANG-226083</t>
  </si>
  <si>
    <t>DANI SYARTIKA</t>
  </si>
  <si>
    <t>ODRNO2607090062</t>
  </si>
  <si>
    <t>811PRS20260704646</t>
  </si>
  <si>
    <t>2171032811819011</t>
  </si>
  <si>
    <t>H MUHAMMAD IHWAN SAFARI, ST</t>
  </si>
  <si>
    <t>ODRNO2607090067</t>
  </si>
  <si>
    <t>811PRS20260704647</t>
  </si>
  <si>
    <t>3174093004770002</t>
  </si>
  <si>
    <t>VALENTINUS WAHYU SUSILO-326082</t>
  </si>
  <si>
    <t>YAHYA ANDRIAN</t>
  </si>
  <si>
    <t>ODRNO2607090070</t>
  </si>
  <si>
    <t>811PRS20260704648</t>
  </si>
  <si>
    <t>BMW</t>
  </si>
  <si>
    <t>3211090105990001</t>
  </si>
  <si>
    <t>PRASTAF GANINDUTO</t>
  </si>
  <si>
    <t>ODRNO2607090107</t>
  </si>
  <si>
    <t>811PRS20260704651</t>
  </si>
  <si>
    <t>3174072201840007</t>
  </si>
  <si>
    <t>RIYANTO-226167</t>
  </si>
  <si>
    <t>HERI SURYANA</t>
  </si>
  <si>
    <t>ODRNO2607090190</t>
  </si>
  <si>
    <t>812PRS20260701318</t>
  </si>
  <si>
    <t>3271041212850017</t>
  </si>
  <si>
    <t>F8088BD</t>
  </si>
  <si>
    <t>YULIA MARHAENIS-0626008</t>
  </si>
  <si>
    <t>tri nugroho diningrat</t>
  </si>
  <si>
    <t>ODRNO2607090129</t>
  </si>
  <si>
    <t>810PRS20260700687</t>
  </si>
  <si>
    <t>1871110302950002</t>
  </si>
  <si>
    <t>jeffry sunandar wijaya</t>
  </si>
  <si>
    <t>ODRNO2607090168</t>
  </si>
  <si>
    <t>810PRS20260700690</t>
  </si>
  <si>
    <t>1871120112980011</t>
  </si>
  <si>
    <t xml:space="preserve">MARLIEN MEWOH </t>
  </si>
  <si>
    <t>ODRNO2607090072</t>
  </si>
  <si>
    <t>828PRS20260700334</t>
  </si>
  <si>
    <t>DATSUN</t>
  </si>
  <si>
    <t>7102045411670001</t>
  </si>
  <si>
    <t>db 1663 li</t>
  </si>
  <si>
    <t>MUBAROK</t>
  </si>
  <si>
    <t>ODRNO2607090040</t>
  </si>
  <si>
    <t>839PRS20260700907</t>
  </si>
  <si>
    <t>1207262602970008</t>
  </si>
  <si>
    <t>JASRIANTO SARAGIH</t>
  </si>
  <si>
    <t>ODRNO2607090043</t>
  </si>
  <si>
    <t>839PRS20260700908</t>
  </si>
  <si>
    <t>1218110405930006</t>
  </si>
  <si>
    <t>M SETIAWAN</t>
  </si>
  <si>
    <t>ODRNO2607090071</t>
  </si>
  <si>
    <t>808PRS20260701783</t>
  </si>
  <si>
    <t>2009</t>
  </si>
  <si>
    <t>1671070909970009</t>
  </si>
  <si>
    <t>SITI NURHANIPAH</t>
  </si>
  <si>
    <t>ODRNO2607100178</t>
  </si>
  <si>
    <t>838PRS20260702514</t>
  </si>
  <si>
    <t>8381022600045</t>
  </si>
  <si>
    <t>838APP20260700045</t>
  </si>
  <si>
    <t>3276054910910003</t>
  </si>
  <si>
    <t>B 1514 WKD</t>
  </si>
  <si>
    <t>YULIANTI LESTARI RIZAL</t>
  </si>
  <si>
    <t>ODRNO2607100134</t>
  </si>
  <si>
    <t>813PRS20260705273</t>
  </si>
  <si>
    <t>3205085907800004</t>
  </si>
  <si>
    <t>AGUS KUSNADI</t>
  </si>
  <si>
    <t>ODRNO2607100141</t>
  </si>
  <si>
    <t>813PRS20260705274</t>
  </si>
  <si>
    <t>3204150808760012</t>
  </si>
  <si>
    <t>AGUNG WIBOWO-226216</t>
  </si>
  <si>
    <t>YAYAT HIDAYAT</t>
  </si>
  <si>
    <t>ODRNO2607100169</t>
  </si>
  <si>
    <t>813PRS20260705284</t>
  </si>
  <si>
    <t>8131022600015</t>
  </si>
  <si>
    <t>813APP20260700056</t>
  </si>
  <si>
    <t>3204320602820004</t>
  </si>
  <si>
    <t>B 2199 FMH</t>
  </si>
  <si>
    <t>ANGGA ABDUL ROZAQ-126023</t>
  </si>
  <si>
    <t>SUHERMAN</t>
  </si>
  <si>
    <t>ODRNO2607100025</t>
  </si>
  <si>
    <t>811PRS20260704674</t>
  </si>
  <si>
    <t>3276022906820008</t>
  </si>
  <si>
    <t>AGNES SAWITRI NOVIANTI</t>
  </si>
  <si>
    <t>ODRNO2607100137</t>
  </si>
  <si>
    <t>811PRS20260704679</t>
  </si>
  <si>
    <t>8111022600027</t>
  </si>
  <si>
    <t>811APP20260700082</t>
  </si>
  <si>
    <t>3174016811680002</t>
  </si>
  <si>
    <t>B 1095 DOZ</t>
  </si>
  <si>
    <t>lendro prasatio</t>
  </si>
  <si>
    <t>ODRNO2607100044</t>
  </si>
  <si>
    <t>809PRS20260701269</t>
  </si>
  <si>
    <t>1704141209980003</t>
  </si>
  <si>
    <t>bd 8768 ty</t>
  </si>
  <si>
    <t>SUPRIYANTO-126141</t>
  </si>
  <si>
    <t>SYAMSUDIN</t>
  </si>
  <si>
    <t>ODRNO2607100001</t>
  </si>
  <si>
    <t>812PRS20260701321</t>
  </si>
  <si>
    <t>3201011603780010</t>
  </si>
  <si>
    <t>ZAKARIA-326116</t>
  </si>
  <si>
    <t>arif hendrawan</t>
  </si>
  <si>
    <t>ODRNO2607100167</t>
  </si>
  <si>
    <t>812PRS20260701329</t>
  </si>
  <si>
    <t>3271032503770011</t>
  </si>
  <si>
    <t>FIFIT NADIA-0626047</t>
  </si>
  <si>
    <t>JAMBI</t>
  </si>
  <si>
    <t>DARSIAH</t>
  </si>
  <si>
    <t>ODRNO2607100094</t>
  </si>
  <si>
    <t>807PRS20260702933</t>
  </si>
  <si>
    <t>8071022600004</t>
  </si>
  <si>
    <t>807APP20260700050</t>
  </si>
  <si>
    <t>AGUS SURIADI</t>
  </si>
  <si>
    <t>PINJAMAN BU ANA PASSENGER SUMBER SALES AGENT PAKET MANJIW REBORN</t>
  </si>
  <si>
    <t>1505084810750001</t>
  </si>
  <si>
    <t>BH 1623 GR</t>
  </si>
  <si>
    <t>BH</t>
  </si>
  <si>
    <t>ZULFITRAH-226053</t>
  </si>
  <si>
    <t>Sarah</t>
  </si>
  <si>
    <t>ODRNO2607100139</t>
  </si>
  <si>
    <t>801PRS20260700887</t>
  </si>
  <si>
    <t>3603205307730003</t>
  </si>
  <si>
    <t>YOHAN EDI SUSANTO-0726041</t>
  </si>
  <si>
    <t>agus widodo</t>
  </si>
  <si>
    <t>ODRNO2607100100</t>
  </si>
  <si>
    <t>810PRS20260700691</t>
  </si>
  <si>
    <t>8101032600009</t>
  </si>
  <si>
    <t>810APP20260700020</t>
  </si>
  <si>
    <t>1802010808770004</t>
  </si>
  <si>
    <t>BE 1656 CJ</t>
  </si>
  <si>
    <t>IVAN WEMPIE MONDIGIR</t>
  </si>
  <si>
    <t>ODRNO2607100040</t>
  </si>
  <si>
    <t>828PRS20260700335</t>
  </si>
  <si>
    <t>7171080802810001</t>
  </si>
  <si>
    <t>db 1528 av</t>
  </si>
  <si>
    <t>SOPHAN HENDRI MANALU</t>
  </si>
  <si>
    <t>ODRNO2607100083</t>
  </si>
  <si>
    <t>839PRS20260700914</t>
  </si>
  <si>
    <t>1275041710690002</t>
  </si>
  <si>
    <t>EWIN SUSANDRA</t>
  </si>
  <si>
    <t>ODRNO2607100084</t>
  </si>
  <si>
    <t>839PRS20260700915</t>
  </si>
  <si>
    <t>12711207111840001</t>
  </si>
  <si>
    <t>ENDARTO</t>
  </si>
  <si>
    <t>ODRNO2607100105</t>
  </si>
  <si>
    <t>816PRS20260700616</t>
  </si>
  <si>
    <t>8161022600003</t>
  </si>
  <si>
    <t>816APP20260700027</t>
  </si>
  <si>
    <t>rully.hakim</t>
  </si>
  <si>
    <t>3319050601910002</t>
  </si>
  <si>
    <t xml:space="preserve">K 1268 FT </t>
  </si>
  <si>
    <t>k 6667 kk</t>
  </si>
  <si>
    <t>ODRNO2607110037</t>
  </si>
  <si>
    <t>806PRS20260702115</t>
  </si>
  <si>
    <t>8061032600002</t>
  </si>
  <si>
    <t>806APP20260700036</t>
  </si>
  <si>
    <t>BP 1 GGV</t>
  </si>
  <si>
    <t>YUDI WARSITO</t>
  </si>
  <si>
    <t>ODRNO2607110141</t>
  </si>
  <si>
    <t>811PRS20260704723</t>
  </si>
  <si>
    <t>3216012104790006</t>
  </si>
  <si>
    <t>v</t>
  </si>
  <si>
    <t>MUHAMMAD MAFTUH AHNAN</t>
  </si>
  <si>
    <t>ODRNO2607110001</t>
  </si>
  <si>
    <t>812PRS20260701330</t>
  </si>
  <si>
    <t>6310082303010005</t>
  </si>
  <si>
    <t>FERI MUSLIH-526014</t>
  </si>
  <si>
    <t>FERNANDO RICHARD WALUJAN</t>
  </si>
  <si>
    <t>ODRNO2607110009</t>
  </si>
  <si>
    <t>828PRS20260700336</t>
  </si>
  <si>
    <t>HYUNDAI</t>
  </si>
  <si>
    <t>7102142003950001</t>
  </si>
  <si>
    <t>db 1693 af</t>
  </si>
  <si>
    <t>JARIN BERENTIAN</t>
  </si>
  <si>
    <t>ODRNO2607110010</t>
  </si>
  <si>
    <t>828PRS20260700337</t>
  </si>
  <si>
    <t>WULING</t>
  </si>
  <si>
    <t>7106031912700001</t>
  </si>
  <si>
    <t>db 1603 fk</t>
  </si>
  <si>
    <t>EKO SUHARJANTO BUDI PRAKOSO</t>
  </si>
  <si>
    <t>ODRNO2607130220</t>
  </si>
  <si>
    <t>838PRS20260702530</t>
  </si>
  <si>
    <t>8381022600041</t>
  </si>
  <si>
    <t>838APP20260700046</t>
  </si>
  <si>
    <t>3671131001900002</t>
  </si>
  <si>
    <t>B 1019 WYR</t>
  </si>
  <si>
    <t>TURIMAN</t>
  </si>
  <si>
    <t>ODRNO2607130278</t>
  </si>
  <si>
    <t>838PRS20260702536</t>
  </si>
  <si>
    <t>3604150608720001</t>
  </si>
  <si>
    <t>B 1809 NOH</t>
  </si>
  <si>
    <t>ODRNO2607130319</t>
  </si>
  <si>
    <t>838PRS20260702539</t>
  </si>
  <si>
    <t>8381022600042</t>
  </si>
  <si>
    <t>838APP20260700054</t>
  </si>
  <si>
    <t>SARAH</t>
  </si>
  <si>
    <t>ODRNO2607130381</t>
  </si>
  <si>
    <t>838PRS20260702541</t>
  </si>
  <si>
    <t>8381032600025</t>
  </si>
  <si>
    <t>838APP20260700058</t>
  </si>
  <si>
    <t>B 1929 JYI</t>
  </si>
  <si>
    <t>B 1498 ROI</t>
  </si>
  <si>
    <t>Indras Setian</t>
  </si>
  <si>
    <t>ODRNO2607130030</t>
  </si>
  <si>
    <t>813PRS20260705311</t>
  </si>
  <si>
    <t>3273270612750003</t>
  </si>
  <si>
    <t>Rahmat Gunawan</t>
  </si>
  <si>
    <t>ODRNO2607130046</t>
  </si>
  <si>
    <t>813PRS20260705316</t>
  </si>
  <si>
    <t>3273151203750011</t>
  </si>
  <si>
    <t>ODRNO2607130186</t>
  </si>
  <si>
    <t>813PRS20260705329</t>
  </si>
  <si>
    <t>8131032600015</t>
  </si>
  <si>
    <t>813APP20260700078</t>
  </si>
  <si>
    <t>B 1007 PKM</t>
  </si>
  <si>
    <t>NITA PURWITA GANDANA</t>
  </si>
  <si>
    <t>ODRNO2607130348</t>
  </si>
  <si>
    <t>813PRS20260705348</t>
  </si>
  <si>
    <t>813APP20260700079</t>
  </si>
  <si>
    <t>3204085911700007</t>
  </si>
  <si>
    <t>SUPARDI</t>
  </si>
  <si>
    <t>ODRNO2607130155</t>
  </si>
  <si>
    <t>811PRS20260704738</t>
  </si>
  <si>
    <t>811APP20260700097</t>
  </si>
  <si>
    <t>3276011007850018</t>
  </si>
  <si>
    <t>HARIYADI</t>
  </si>
  <si>
    <t>ODRNO2607130222</t>
  </si>
  <si>
    <t>812PRS20260701346</t>
  </si>
  <si>
    <t>3276021111820009</t>
  </si>
  <si>
    <t>NAZWA SABRINA</t>
  </si>
  <si>
    <t>ODRNO2607130317</t>
  </si>
  <si>
    <t>812PRS20260701351</t>
  </si>
  <si>
    <t>3201344112040001</t>
  </si>
  <si>
    <t>FATMAWATI</t>
  </si>
  <si>
    <t>SAMUDRA SY</t>
  </si>
  <si>
    <t>ODRNO2607130055</t>
  </si>
  <si>
    <t>802PRS20260702246</t>
  </si>
  <si>
    <t>ZAINUL YASNI</t>
  </si>
  <si>
    <t>3671042409680003</t>
  </si>
  <si>
    <t>ZAINUL YASNI-326005</t>
  </si>
  <si>
    <t>ROSINTA CHANDRA</t>
  </si>
  <si>
    <t>ODRNO2607130211</t>
  </si>
  <si>
    <t>802PRS20260702262</t>
  </si>
  <si>
    <t>8021032600002</t>
  </si>
  <si>
    <t>802APP20260700040</t>
  </si>
  <si>
    <t>CF PINJAMAN BU ANA MOBIL COMMERCIAL JAPAN RO CUSTOMER - MODAL USAHA</t>
  </si>
  <si>
    <t>3671046608850004</t>
  </si>
  <si>
    <t>BD 8934 AR</t>
  </si>
  <si>
    <t>Wuragil Kartika Sari</t>
  </si>
  <si>
    <t>ODRNO2607130194</t>
  </si>
  <si>
    <t>801PRS20260700896</t>
  </si>
  <si>
    <t>3275125601840006</t>
  </si>
  <si>
    <t>FAUZI ARDI-0626035</t>
  </si>
  <si>
    <t>rinaldi indra putra</t>
  </si>
  <si>
    <t>ODRNO2607130266</t>
  </si>
  <si>
    <t>810PRS20260700698</t>
  </si>
  <si>
    <t>1871010110910001</t>
  </si>
  <si>
    <t>CATUR MARDIYANTO-226006</t>
  </si>
  <si>
    <t>JATIMAT SARAGIH</t>
  </si>
  <si>
    <t>ODRNO2607130302</t>
  </si>
  <si>
    <t>839PRS20260700924</t>
  </si>
  <si>
    <t>1218111011650002</t>
  </si>
  <si>
    <t>SABRINA OCTAVIANI</t>
  </si>
  <si>
    <t>ODRNO2607130260</t>
  </si>
  <si>
    <t>805PRS20260702601</t>
  </si>
  <si>
    <t>805APP20260700063</t>
  </si>
  <si>
    <t>william.mintaria</t>
  </si>
  <si>
    <t>1471104210950001</t>
  </si>
  <si>
    <t>MHD ZAKI-526009</t>
  </si>
  <si>
    <t>hamzah</t>
  </si>
  <si>
    <t>ODRNO2607130320</t>
  </si>
  <si>
    <t>841PRS20260701207</t>
  </si>
  <si>
    <t>3201311804930002</t>
  </si>
  <si>
    <t>r</t>
  </si>
  <si>
    <t>YOGYAKARTA</t>
  </si>
  <si>
    <t>ignatius donny kristiantio aji</t>
  </si>
  <si>
    <t>ODRNO2607130049</t>
  </si>
  <si>
    <t>834PRS20260700801</t>
  </si>
  <si>
    <t>ALIF APRI HANSYAH</t>
  </si>
  <si>
    <t>3404050304940002</t>
  </si>
  <si>
    <t>xx</t>
  </si>
  <si>
    <t>SOFYAN BAYU SAIFULLOH-126397</t>
  </si>
  <si>
    <t>BALIKPAPAN</t>
  </si>
  <si>
    <t>CHINTAMI FEBRIANA</t>
  </si>
  <si>
    <t>ODRNO2607140192</t>
  </si>
  <si>
    <t>824PRS20260700699</t>
  </si>
  <si>
    <t>JOSUA TARIGAN</t>
  </si>
  <si>
    <t>6471035202860003</t>
  </si>
  <si>
    <t>kt 0000</t>
  </si>
  <si>
    <t>ODRNO2607140239</t>
  </si>
  <si>
    <t>824PRS20260700701</t>
  </si>
  <si>
    <t>824APP20260700013</t>
  </si>
  <si>
    <t>KT 0000</t>
  </si>
  <si>
    <t>Iqbal Surya Dwipangga</t>
  </si>
  <si>
    <t>ODRNO2607140058</t>
  </si>
  <si>
    <t>813PRS20260705360</t>
  </si>
  <si>
    <t>3273271203010003</t>
  </si>
  <si>
    <t>Drs Yudi Suryadi</t>
  </si>
  <si>
    <t>ODRNO2607140060</t>
  </si>
  <si>
    <t>813PRS20260705361</t>
  </si>
  <si>
    <t>3273272811660003</t>
  </si>
  <si>
    <t>DINI NURUL FUADIAH</t>
  </si>
  <si>
    <t>ODRNO2607140082</t>
  </si>
  <si>
    <t>813PRS20260705362</t>
  </si>
  <si>
    <t>3277014208930027</t>
  </si>
  <si>
    <t>TAUFIK RAHMAN S ST</t>
  </si>
  <si>
    <t>ODRNO2607140151</t>
  </si>
  <si>
    <t>813PRS20260705365</t>
  </si>
  <si>
    <t>3217140101780031</t>
  </si>
  <si>
    <t>HASAN SUJANA-526023</t>
  </si>
  <si>
    <t>AGNES MELISSE GILBERTHA SERAN</t>
  </si>
  <si>
    <t>ODRNO2607140063</t>
  </si>
  <si>
    <t>811PRS20260704774</t>
  </si>
  <si>
    <t>5301084203910006</t>
  </si>
  <si>
    <t>WASMUN</t>
  </si>
  <si>
    <t>ODRNO2607140087</t>
  </si>
  <si>
    <t>811PRS20260704776</t>
  </si>
  <si>
    <t>3275031111800037</t>
  </si>
  <si>
    <t>ANDY AHMAD MAKRUP</t>
  </si>
  <si>
    <t>ODRNO2607140096</t>
  </si>
  <si>
    <t>811PRS20260704777</t>
  </si>
  <si>
    <t>3275080704830052</t>
  </si>
  <si>
    <t>ODRNO2607140111</t>
  </si>
  <si>
    <t>812PRS20260701355</t>
  </si>
  <si>
    <t>812APP20260700019</t>
  </si>
  <si>
    <t>Assignment Survey 1</t>
  </si>
  <si>
    <t>Ready to Assign Survey 1</t>
  </si>
  <si>
    <t>INDRA SUBAGYA</t>
  </si>
  <si>
    <t>ODRNO2607140172</t>
  </si>
  <si>
    <t>812PRS20260701356</t>
  </si>
  <si>
    <t>3201381301910001</t>
  </si>
  <si>
    <t>B2499SYH</t>
  </si>
  <si>
    <t>TUBAGUS ARYO PUTRO</t>
  </si>
  <si>
    <t>ODRNO2607140198</t>
  </si>
  <si>
    <t>812PRS20260701358</t>
  </si>
  <si>
    <t>3276020205950016</t>
  </si>
  <si>
    <t>Sunardi</t>
  </si>
  <si>
    <t>ODRNO2607140182</t>
  </si>
  <si>
    <t>801PRS20260700903</t>
  </si>
  <si>
    <t>andrie.santoso</t>
  </si>
  <si>
    <t>3206280507880002</t>
  </si>
  <si>
    <t>MUHAMMAD ASLAMI DHUHA FALEYRI-0626003</t>
  </si>
  <si>
    <t>Jemmy Pondag</t>
  </si>
  <si>
    <t>ODRNO2607140191</t>
  </si>
  <si>
    <t>801PRS20260700904</t>
  </si>
  <si>
    <t>3173010206830002</t>
  </si>
  <si>
    <t>dini selviani</t>
  </si>
  <si>
    <t>ODRNO2607140169</t>
  </si>
  <si>
    <t>810PRS20260700706</t>
  </si>
  <si>
    <t>1871046108900005</t>
  </si>
  <si>
    <t>00008</t>
  </si>
  <si>
    <t>DIDIK ISDARTA-326011</t>
  </si>
  <si>
    <t xml:space="preserve">BOB MATUTINA </t>
  </si>
  <si>
    <t>ODRNO2607140078</t>
  </si>
  <si>
    <t>828PRS20260700338</t>
  </si>
  <si>
    <t>5308191102700001</t>
  </si>
  <si>
    <t>db 808 Lan</t>
  </si>
  <si>
    <t>TRULLY MEYLANI MAMUAJA</t>
  </si>
  <si>
    <t>ODRNO2607140150</t>
  </si>
  <si>
    <t>828PRS20260700339</t>
  </si>
  <si>
    <t>7171047105880001</t>
  </si>
  <si>
    <t>db 1804 ag</t>
  </si>
  <si>
    <t>NURSINTA FLORENSE PAKPAHAN</t>
  </si>
  <si>
    <t>ODRNO2607140021</t>
  </si>
  <si>
    <t>839PRS20260700925</t>
  </si>
  <si>
    <t>839APP20260700027</t>
  </si>
  <si>
    <t>1271035606720005</t>
  </si>
  <si>
    <t>muslim purba</t>
  </si>
  <si>
    <t>ODRNO2607140029</t>
  </si>
  <si>
    <t>841PRS20260701212</t>
  </si>
  <si>
    <t>3202162501730007</t>
  </si>
  <si>
    <t>ida ayu gita karanasari</t>
  </si>
  <si>
    <t>ODRNO2607140153</t>
  </si>
  <si>
    <t>819PRS20260701019</t>
  </si>
  <si>
    <t>5171015911820001</t>
  </si>
  <si>
    <t>SARANITA KENCANA SARI-126043</t>
  </si>
  <si>
    <t>DANIEL AGUNG IRWANTO</t>
  </si>
  <si>
    <t>ODRNO2607140086</t>
  </si>
  <si>
    <t>834PRS20260700805</t>
  </si>
  <si>
    <t>SOFYAN BAYU SAIFULLOH</t>
  </si>
  <si>
    <t>popal.andra</t>
  </si>
  <si>
    <t>3404071606820011</t>
  </si>
  <si>
    <t>x</t>
  </si>
  <si>
    <t>GIOVANNI IKA INDRIYANI</t>
  </si>
  <si>
    <t>ODRNO2607140117</t>
  </si>
  <si>
    <t>834PRS20260700808</t>
  </si>
  <si>
    <t>3308056810960003</t>
  </si>
  <si>
    <t>RININTA WIDAYANTO</t>
  </si>
  <si>
    <t>ODRNO2607150053</t>
  </si>
  <si>
    <t>838PRS20260702556</t>
  </si>
  <si>
    <t>8381022600043</t>
  </si>
  <si>
    <t>838APP20260700055</t>
  </si>
  <si>
    <t>deedatu.durbanu</t>
  </si>
  <si>
    <t>3201015409940008</t>
  </si>
  <si>
    <t>B 1568 BAH</t>
  </si>
  <si>
    <t>B 1568 BAN</t>
  </si>
  <si>
    <t>KHAIRI SYAMSI</t>
  </si>
  <si>
    <t>ODRNO2607150074</t>
  </si>
  <si>
    <t>838PRS20260702560</t>
  </si>
  <si>
    <t>3201012505940004</t>
  </si>
  <si>
    <t>Irpan Permana</t>
  </si>
  <si>
    <t>ODRNO2607150198</t>
  </si>
  <si>
    <t>813PRS20260705407</t>
  </si>
  <si>
    <t>3204161703960002</t>
  </si>
  <si>
    <t>Deden Juliana</t>
  </si>
  <si>
    <t>ODRNO2607150201</t>
  </si>
  <si>
    <t>813PRS20260705408</t>
  </si>
  <si>
    <t>3203180407880010</t>
  </si>
  <si>
    <t>RUSTAM</t>
  </si>
  <si>
    <t>ODRNO2607150136</t>
  </si>
  <si>
    <t>811PRS20260704802</t>
  </si>
  <si>
    <t>3214040810710003</t>
  </si>
  <si>
    <t>heffi laila sari</t>
  </si>
  <si>
    <t>ODRNO2607150144</t>
  </si>
  <si>
    <t>809PRS20260701294</t>
  </si>
  <si>
    <t>1771015403890002</t>
  </si>
  <si>
    <t>bd 2949 er</t>
  </si>
  <si>
    <t>DEWI ENDAWATI</t>
  </si>
  <si>
    <t>ODRNO2607150192</t>
  </si>
  <si>
    <t>812PRS20260701371</t>
  </si>
  <si>
    <t>8121022600024</t>
  </si>
  <si>
    <t>812APP20260700038</t>
  </si>
  <si>
    <t>3201166802690002</t>
  </si>
  <si>
    <t>F 1689 JI</t>
  </si>
  <si>
    <t>BILLIE SAPTORANGGA-226140</t>
  </si>
  <si>
    <t>arzhen zaenudin</t>
  </si>
  <si>
    <t>ODRNO2607150096</t>
  </si>
  <si>
    <t>802PRS20260702299</t>
  </si>
  <si>
    <t>RIZQI APRIANSYAH</t>
  </si>
  <si>
    <t>3216192010890006</t>
  </si>
  <si>
    <t>RENDI TRIANTARA-0726013</t>
  </si>
  <si>
    <t>RISA MARDIANA</t>
  </si>
  <si>
    <t>ODRNO2607150173</t>
  </si>
  <si>
    <t>802PRS20260702300</t>
  </si>
  <si>
    <t>3603056903990001</t>
  </si>
  <si>
    <t>dwi irmawati</t>
  </si>
  <si>
    <t>ODRNO2607150177</t>
  </si>
  <si>
    <t>802PRS20260702302</t>
  </si>
  <si>
    <t>3326075209860023</t>
  </si>
  <si>
    <t>Johar</t>
  </si>
  <si>
    <t>ODRNO2607150168</t>
  </si>
  <si>
    <t>801PRS20260700908</t>
  </si>
  <si>
    <t>[No User]</t>
  </si>
  <si>
    <t>3329141506830007</t>
  </si>
  <si>
    <t>ANDI BILLA SHAHZAD MACORA-0626005</t>
  </si>
  <si>
    <t>Hilyawati Toyibah</t>
  </si>
  <si>
    <t>ODRNO2607150209</t>
  </si>
  <si>
    <t>801PRS20260700909</t>
  </si>
  <si>
    <t>801APP20260700091</t>
  </si>
  <si>
    <t>3171084510790004</t>
  </si>
  <si>
    <t>TARIDA BILL CLINTON-426034</t>
  </si>
  <si>
    <t>sonya yunita adriati</t>
  </si>
  <si>
    <t>ODRNO2607150178</t>
  </si>
  <si>
    <t>810PRS20260700711</t>
  </si>
  <si>
    <t>1609095606010004</t>
  </si>
  <si>
    <t>SUTANTO-126267</t>
  </si>
  <si>
    <t>HERIANTO BARUS</t>
  </si>
  <si>
    <t>ODRNO2607150125</t>
  </si>
  <si>
    <t>839PRS20260700936</t>
  </si>
  <si>
    <t>1771071406920002</t>
  </si>
  <si>
    <t>RYAN GUNAWAN</t>
  </si>
  <si>
    <t>ODRNO2607150127</t>
  </si>
  <si>
    <t>839PRS20260700937</t>
  </si>
  <si>
    <t>1271080602910001</t>
  </si>
  <si>
    <t>Tatau Arnold Pisy</t>
  </si>
  <si>
    <t>ODRNO2607150120</t>
  </si>
  <si>
    <t>829PRS20260701860</t>
  </si>
  <si>
    <t>8291032600006</t>
  </si>
  <si>
    <t>829APP20260700034</t>
  </si>
  <si>
    <t>ARDIANSYAH</t>
  </si>
  <si>
    <t>edi.susilo</t>
  </si>
  <si>
    <t>6210021708700007</t>
  </si>
  <si>
    <t>KH 1432 HD</t>
  </si>
  <si>
    <t>1</t>
  </si>
  <si>
    <t>MUHAMMAD ALIF PURNAMA</t>
  </si>
  <si>
    <t>ODRNO2607150159</t>
  </si>
  <si>
    <t>805PRS20260702643</t>
  </si>
  <si>
    <t>1407030907000004</t>
  </si>
  <si>
    <t>Tb Dimas Dianggara Putra</t>
  </si>
  <si>
    <t>ODRNO2607160033</t>
  </si>
  <si>
    <t>813PRS20260705416</t>
  </si>
  <si>
    <t>813APP20260700088</t>
  </si>
  <si>
    <t>3273230109870001</t>
  </si>
  <si>
    <t>FERISAL NUR WAHID</t>
  </si>
  <si>
    <t>ODRNO2607160072</t>
  </si>
  <si>
    <t>813PRS20260705420</t>
  </si>
  <si>
    <t>3277011205930002</t>
  </si>
  <si>
    <t>HERU FIRMANSYAH S HUT</t>
  </si>
  <si>
    <t>ODRNO2607160145</t>
  </si>
  <si>
    <t>813PRS20260705425</t>
  </si>
  <si>
    <t>3211151006760015</t>
  </si>
  <si>
    <t>TRI RATNASARI</t>
  </si>
  <si>
    <t>ODRNO2607160164</t>
  </si>
  <si>
    <t>811PRS20260704823</t>
  </si>
  <si>
    <t>3172044707910002</t>
  </si>
  <si>
    <t>asep khoerudin</t>
  </si>
  <si>
    <t>ODRNO2607160161</t>
  </si>
  <si>
    <t>812PRS20260701376</t>
  </si>
  <si>
    <t>3271021408680007</t>
  </si>
  <si>
    <t>F1590NI</t>
  </si>
  <si>
    <t>IBNU AHMAD-0626013</t>
  </si>
  <si>
    <t>ANWAR SATYAKRAMA</t>
  </si>
  <si>
    <t>ODRNO2607160148</t>
  </si>
  <si>
    <t>802PRS20260702312</t>
  </si>
  <si>
    <t>3173022211590002</t>
  </si>
  <si>
    <t>EDLY RAYMESA-0726045</t>
  </si>
  <si>
    <t>Yuliana</t>
  </si>
  <si>
    <t>ODRNO2607160177</t>
  </si>
  <si>
    <t>802PRS20260702316</t>
  </si>
  <si>
    <t>8021022600002</t>
  </si>
  <si>
    <t>802APP20260700061</t>
  </si>
  <si>
    <t>3674036804680001</t>
  </si>
  <si>
    <t>B 1552 WYX</t>
  </si>
  <si>
    <t>MUHAMAD FALAHUDDIN AKBAR-0726042</t>
  </si>
  <si>
    <t>NURWATI</t>
  </si>
  <si>
    <t>ODRNO2607160080</t>
  </si>
  <si>
    <t>807PRS20260703015</t>
  </si>
  <si>
    <t>1506024411660003</t>
  </si>
  <si>
    <t>BG8535BO</t>
  </si>
  <si>
    <t>M CHAIRUDINSYAH-126055</t>
  </si>
  <si>
    <t>made rian adytiawan</t>
  </si>
  <si>
    <t>ODRNO2607160103</t>
  </si>
  <si>
    <t>810PRS20260700718</t>
  </si>
  <si>
    <t>1801070911990003</t>
  </si>
  <si>
    <t>JUNI RANTI SITOMPUL</t>
  </si>
  <si>
    <t>ODRNO2607160085</t>
  </si>
  <si>
    <t>839PRS20260700944</t>
  </si>
  <si>
    <t>1202036006030001</t>
  </si>
  <si>
    <t>WIWIK WIDARSIH MARSA</t>
  </si>
  <si>
    <t>ODRNO2607160160</t>
  </si>
  <si>
    <t>805PRS20260702662</t>
  </si>
  <si>
    <t>1405027006030010</t>
  </si>
  <si>
    <t>farizy al fikri</t>
  </si>
  <si>
    <t>ODRNO2607160043</t>
  </si>
  <si>
    <t>819PRS20260701029</t>
  </si>
  <si>
    <t>8191022600011</t>
  </si>
  <si>
    <t>819APP20260700018</t>
  </si>
  <si>
    <t>3578080106900002</t>
  </si>
  <si>
    <t>L 1184 EL</t>
  </si>
  <si>
    <t>L1184EL</t>
  </si>
  <si>
    <t>TYASTIKA NOVIANTI</t>
  </si>
  <si>
    <t>ODRNO2607170142</t>
  </si>
  <si>
    <t>838PRS20260702579</t>
  </si>
  <si>
    <t>3172046811950011</t>
  </si>
  <si>
    <t>B 2972 UOE</t>
  </si>
  <si>
    <t>LUNA NUR ARDHILLA</t>
  </si>
  <si>
    <t>ODRNO2607170143</t>
  </si>
  <si>
    <t>838PRS20260702580</t>
  </si>
  <si>
    <t>MAZDA</t>
  </si>
  <si>
    <t>3674035602990001</t>
  </si>
  <si>
    <t>B 2056 PBJ</t>
  </si>
  <si>
    <t>BENI WIJAYA</t>
  </si>
  <si>
    <t>ODRNO2607170145</t>
  </si>
  <si>
    <t>838PRS20260702581</t>
  </si>
  <si>
    <t>3671122104820002</t>
  </si>
  <si>
    <t>B 2625 BZV</t>
  </si>
  <si>
    <t>PIETER SALIM</t>
  </si>
  <si>
    <t>ODRNO2607170076</t>
  </si>
  <si>
    <t>824PRS20260700709</t>
  </si>
  <si>
    <t>8241032600006</t>
  </si>
  <si>
    <t>824APP20260700024</t>
  </si>
  <si>
    <t>3173063112720017</t>
  </si>
  <si>
    <t>KT 1657 GI</t>
  </si>
  <si>
    <t>kt 00</t>
  </si>
  <si>
    <t>ATA</t>
  </si>
  <si>
    <t>ODRNO2607170184</t>
  </si>
  <si>
    <t>813PRS20260705446</t>
  </si>
  <si>
    <t>3212042012940003</t>
  </si>
  <si>
    <t>BAYU SEPTIA</t>
  </si>
  <si>
    <t>ODRNO2607170168</t>
  </si>
  <si>
    <t>812PRS20260701384</t>
  </si>
  <si>
    <t>812APP20260700032</t>
  </si>
  <si>
    <t>3271024109890001</t>
  </si>
  <si>
    <t>ANASTASIA DWI LARASATI-226145</t>
  </si>
  <si>
    <t>ELVIN TRIPUTRA</t>
  </si>
  <si>
    <t>ODRNO2607170178</t>
  </si>
  <si>
    <t>802PRS20260702329</t>
  </si>
  <si>
    <t>8021032600003</t>
  </si>
  <si>
    <t>802APP20260700054</t>
  </si>
  <si>
    <t>3174032906770002</t>
  </si>
  <si>
    <t>B 1609 SNU</t>
  </si>
  <si>
    <t>ASEP RUSLI HIDAYAT M-0726018</t>
  </si>
  <si>
    <t>deni</t>
  </si>
  <si>
    <t>ODRNO2607170153</t>
  </si>
  <si>
    <t>801PRS20260700917</t>
  </si>
  <si>
    <t>3206280410900001</t>
  </si>
  <si>
    <t>Mochammad Guntur Nugraha</t>
  </si>
  <si>
    <t>ODRNO2607170182</t>
  </si>
  <si>
    <t>801PRS20260700918</t>
  </si>
  <si>
    <t>3175080401830002</t>
  </si>
  <si>
    <t>yumi</t>
  </si>
  <si>
    <t>ODRNO2607170172</t>
  </si>
  <si>
    <t>810PRS20260700720</t>
  </si>
  <si>
    <t>Must Edit Prospect on Confins</t>
  </si>
  <si>
    <t>prospect yang dilakukan edit pada Confins</t>
  </si>
  <si>
    <t>1871126304880004</t>
  </si>
  <si>
    <t>SURYA RISKI SIREGAR</t>
  </si>
  <si>
    <t>ODRNO2607170136</t>
  </si>
  <si>
    <t>839PRS20260700948</t>
  </si>
  <si>
    <t>1271131405010006</t>
  </si>
  <si>
    <t>JIHAN MUTIARA FINKAN</t>
  </si>
  <si>
    <t>ODRNO2607170167</t>
  </si>
  <si>
    <t>839PRS20260700951</t>
  </si>
  <si>
    <t>1271036611020007</t>
  </si>
  <si>
    <t xml:space="preserve">syukron agus </t>
  </si>
  <si>
    <t>ODRNO2607170079</t>
  </si>
  <si>
    <t>819PRS20260701033</t>
  </si>
  <si>
    <t>8191022600012</t>
  </si>
  <si>
    <t>819APP20260700024</t>
  </si>
  <si>
    <t>3578120105780001</t>
  </si>
  <si>
    <t>L 1995 AAZ</t>
  </si>
  <si>
    <t>xxxxx</t>
  </si>
  <si>
    <t>ASEP WAWAN</t>
  </si>
  <si>
    <t>ODRNO2607180089</t>
  </si>
  <si>
    <t>813PRS20260705455</t>
  </si>
  <si>
    <t>813APP20260700104</t>
  </si>
  <si>
    <t>32041662301830001</t>
  </si>
  <si>
    <t xml:space="preserve">CONG BUI </t>
  </si>
  <si>
    <t>ODRNO2607180074</t>
  </si>
  <si>
    <t>806PRS20260702201</t>
  </si>
  <si>
    <t>PRAMA OVRIANDI SAPUTRA</t>
  </si>
  <si>
    <t>2171101709859010</t>
  </si>
  <si>
    <t>MUHAMMAD MUCHLISH INSANI-426032</t>
  </si>
  <si>
    <t>ABDUL YONI</t>
  </si>
  <si>
    <t>ODRNO2607180079</t>
  </si>
  <si>
    <t>811PRS20260704866</t>
  </si>
  <si>
    <t>3215280208990003</t>
  </si>
  <si>
    <t>RASMUN JAYA</t>
  </si>
  <si>
    <t>ODRNO2607180080</t>
  </si>
  <si>
    <t>811PRS20260704867</t>
  </si>
  <si>
    <t>3216192404800013</t>
  </si>
  <si>
    <t>LINGGA NOVANDA</t>
  </si>
  <si>
    <t>ODRNO2607200177</t>
  </si>
  <si>
    <t>838PRS20260702618</t>
  </si>
  <si>
    <t>8381032600026</t>
  </si>
  <si>
    <t>838APP20260700070</t>
  </si>
  <si>
    <t>3674050111880004</t>
  </si>
  <si>
    <t>B 1397 SCP</t>
  </si>
  <si>
    <t>Yusi Desi Natalia</t>
  </si>
  <si>
    <t>ODRNO2607200169</t>
  </si>
  <si>
    <t>813PRS20260705494</t>
  </si>
  <si>
    <t>3273036512830002</t>
  </si>
  <si>
    <t>SANDI PANJI</t>
  </si>
  <si>
    <t>ODRNO2607200225</t>
  </si>
  <si>
    <t>813PRS20260705496</t>
  </si>
  <si>
    <t>5102062105770001</t>
  </si>
  <si>
    <t>CHAERUL NURDIANSYAH SE-126091</t>
  </si>
  <si>
    <t>ODRNO2607200291</t>
  </si>
  <si>
    <t>813PRS20260705503</t>
  </si>
  <si>
    <t>ferry naimaturahmah nst</t>
  </si>
  <si>
    <t>ODRNO2607200289</t>
  </si>
  <si>
    <t>806PRS20260702218</t>
  </si>
  <si>
    <t>2171046002710001</t>
  </si>
  <si>
    <t>ADEX CHANIAGO</t>
  </si>
  <si>
    <t>ODRNO2607200123</t>
  </si>
  <si>
    <t>811PRS20260704896</t>
  </si>
  <si>
    <t>3175101205810014</t>
  </si>
  <si>
    <t>MARIO IMANUEL-226038</t>
  </si>
  <si>
    <t>YULIANTI</t>
  </si>
  <si>
    <t>ODRNO2607200183</t>
  </si>
  <si>
    <t>811PRS20260704900</t>
  </si>
  <si>
    <t>2010</t>
  </si>
  <si>
    <t>3175014806670005</t>
  </si>
  <si>
    <t>SANDY ISMAYANA-426017</t>
  </si>
  <si>
    <t>ABDUL TALI SANTOSO</t>
  </si>
  <si>
    <t>ODRNO2607200188</t>
  </si>
  <si>
    <t>811PRS20260704901</t>
  </si>
  <si>
    <t>3216061707900019</t>
  </si>
  <si>
    <t>DWIE JAYANTO-126276</t>
  </si>
  <si>
    <t>JIHAP MIHROS</t>
  </si>
  <si>
    <t>ODRNO2607200135</t>
  </si>
  <si>
    <t>812PRS20260701402</t>
  </si>
  <si>
    <t>812APP20260700049</t>
  </si>
  <si>
    <t>3202162709850012</t>
  </si>
  <si>
    <t>Backlog</t>
  </si>
  <si>
    <t>MOCHAMMAD PANDU</t>
  </si>
  <si>
    <t>ODRNO2607200184</t>
  </si>
  <si>
    <t>812PRS20260701403</t>
  </si>
  <si>
    <t>3671111012860001</t>
  </si>
  <si>
    <t>AGUNG FEBRU SIREGAR-526005</t>
  </si>
  <si>
    <t>JAENUDIN</t>
  </si>
  <si>
    <t>ODRNO2607200274</t>
  </si>
  <si>
    <t>812PRS20260701404</t>
  </si>
  <si>
    <t>3201290101720010</t>
  </si>
  <si>
    <t>F1542JO</t>
  </si>
  <si>
    <t>ARIQ MUHAMMAD SULTHAN</t>
  </si>
  <si>
    <t>ODRNO2607200201</t>
  </si>
  <si>
    <t>802PRS20260702362</t>
  </si>
  <si>
    <t>samuel.fernando</t>
  </si>
  <si>
    <t>3171052808020002</t>
  </si>
  <si>
    <t>IMAN NURIMAN-226063</t>
  </si>
  <si>
    <t>suherman</t>
  </si>
  <si>
    <t>ODRNO2607200224</t>
  </si>
  <si>
    <t>802PRS20260702366</t>
  </si>
  <si>
    <t>DICKY APRIYADI</t>
  </si>
  <si>
    <t>3174081706780009</t>
  </si>
  <si>
    <t>WICAKSONO-0726017</t>
  </si>
  <si>
    <t>tri sutrisno</t>
  </si>
  <si>
    <t>ODRNO2607200118</t>
  </si>
  <si>
    <t>810PRS20260700725</t>
  </si>
  <si>
    <t>1871070809830002</t>
  </si>
  <si>
    <t>agung hartono putra</t>
  </si>
  <si>
    <t>ODRNO2607200138</t>
  </si>
  <si>
    <t>810PRS20260700726</t>
  </si>
  <si>
    <t>1803160908940002</t>
  </si>
  <si>
    <t>yogi</t>
  </si>
  <si>
    <t>ODRNO2607200197</t>
  </si>
  <si>
    <t>810PRS20260700727</t>
  </si>
  <si>
    <t>3209070304940004</t>
  </si>
  <si>
    <t>HENDI KURNIAWAN-126018</t>
  </si>
  <si>
    <t>AGUSMILAWARDANA SEMBIRING</t>
  </si>
  <si>
    <t>ODRNO2607200122</t>
  </si>
  <si>
    <t>839PRS20260700954</t>
  </si>
  <si>
    <t>1205120408830005</t>
  </si>
  <si>
    <t>HERYANTO NABABAN-126406</t>
  </si>
  <si>
    <t>RINALDI</t>
  </si>
  <si>
    <t>ODRNO2607200166</t>
  </si>
  <si>
    <t>805PRS20260702711</t>
  </si>
  <si>
    <t>1405022312800004</t>
  </si>
  <si>
    <t>MEGA ROS SIMANJUNTAK</t>
  </si>
  <si>
    <t>ODRNO2607200173</t>
  </si>
  <si>
    <t>805PRS20260702712</t>
  </si>
  <si>
    <t>8051022600004</t>
  </si>
  <si>
    <t>805APP20260700067</t>
  </si>
  <si>
    <t>1471126911790061</t>
  </si>
  <si>
    <t>BM 1296 AQ</t>
  </si>
  <si>
    <t>JHON HERI PUTRA KENANGAN PURBA</t>
  </si>
  <si>
    <t>ODRNO2607200182</t>
  </si>
  <si>
    <t>805PRS20260702713</t>
  </si>
  <si>
    <t>805APP20260700074</t>
  </si>
  <si>
    <t>1208272407890002</t>
  </si>
  <si>
    <t>DODI DWI FIRMA SUSETYO-0726065</t>
  </si>
  <si>
    <t>ROHIT MAULANA</t>
  </si>
  <si>
    <t>ODRNO2607200194</t>
  </si>
  <si>
    <t>805PRS20260702714</t>
  </si>
  <si>
    <t>8051032600017</t>
  </si>
  <si>
    <t>805APP20260700082</t>
  </si>
  <si>
    <t>1407032708010001</t>
  </si>
  <si>
    <t>BM 8023 PI</t>
  </si>
  <si>
    <t>MUHAMMAD ISRAMI-226109</t>
  </si>
  <si>
    <t>KAERI TRI MIRAWANTO</t>
  </si>
  <si>
    <t>ODRNO2607200041</t>
  </si>
  <si>
    <t>816PRS20260700634</t>
  </si>
  <si>
    <t>3374042008840001</t>
  </si>
  <si>
    <t>h 8888 hh</t>
  </si>
  <si>
    <t>REKNO WIJATI</t>
  </si>
  <si>
    <t>ODRNO2607200141</t>
  </si>
  <si>
    <t>816PRS20260700636</t>
  </si>
  <si>
    <t>3374076303840001</t>
  </si>
  <si>
    <t>h 1642 rg</t>
  </si>
  <si>
    <t>MUHAMAD SOLIKIN-226139</t>
  </si>
  <si>
    <t>ODRNO2607210019</t>
  </si>
  <si>
    <t>813PRS20260705507</t>
  </si>
  <si>
    <t>8131022600016</t>
  </si>
  <si>
    <t>813APP20260700108</t>
  </si>
  <si>
    <t>3204162301830001</t>
  </si>
  <si>
    <t>D 1390 YVZ</t>
  </si>
  <si>
    <t>ODRNO2607210093</t>
  </si>
  <si>
    <t>813PRS20260705512</t>
  </si>
  <si>
    <t>AYI HIDAYAT</t>
  </si>
  <si>
    <t>ODRNO2607210187</t>
  </si>
  <si>
    <t>813PRS20260705521</t>
  </si>
  <si>
    <t>3273072406680009</t>
  </si>
  <si>
    <t>ENJANG SOPIAN-0726070</t>
  </si>
  <si>
    <t>Rina Haerani</t>
  </si>
  <si>
    <t>ODRNO2607210200</t>
  </si>
  <si>
    <t>813PRS20260705523</t>
  </si>
  <si>
    <t>3273066009800015</t>
  </si>
  <si>
    <t>GILMAN MUGHNI-0626031</t>
  </si>
  <si>
    <t>Amud Sahmudin Spd i</t>
  </si>
  <si>
    <t>ODRNO2607210201</t>
  </si>
  <si>
    <t>813PRS20260705524</t>
  </si>
  <si>
    <t>3217051811780006</t>
  </si>
  <si>
    <t>Dendy Rizaldi</t>
  </si>
  <si>
    <t>ODRNO2607210205</t>
  </si>
  <si>
    <t>813PRS20260705526</t>
  </si>
  <si>
    <t>3214062010910010</t>
  </si>
  <si>
    <t>IVAN PRABUMI</t>
  </si>
  <si>
    <t>ODRNO2607210249</t>
  </si>
  <si>
    <t>813PRS20260705532</t>
  </si>
  <si>
    <t>8131022600017</t>
  </si>
  <si>
    <t>813APP20260700114</t>
  </si>
  <si>
    <t>D 1637 AMH</t>
  </si>
  <si>
    <t>MEIRIANA</t>
  </si>
  <si>
    <t>ODRNO2607210099</t>
  </si>
  <si>
    <t>811PRS20260704928</t>
  </si>
  <si>
    <t>8111022600028</t>
  </si>
  <si>
    <t>811APP20260700119</t>
  </si>
  <si>
    <t>3672056402880001</t>
  </si>
  <si>
    <t>B 1041 WLT</t>
  </si>
  <si>
    <t>ZALFA ZAHIRAH ADHANIA SE</t>
  </si>
  <si>
    <t>ODRNO2607210067</t>
  </si>
  <si>
    <t>812PRS20260701405</t>
  </si>
  <si>
    <t>3174056503990001</t>
  </si>
  <si>
    <t>ADITHYA ARIA NUGRAHA-226218</t>
  </si>
  <si>
    <t>USEP SAEPUL ALAM</t>
  </si>
  <si>
    <t>ODRNO2607210177</t>
  </si>
  <si>
    <t>812PRS20260701408</t>
  </si>
  <si>
    <t>Drop Data by CA</t>
  </si>
  <si>
    <t>Status data di drop oleh CA</t>
  </si>
  <si>
    <t>320213090940002</t>
  </si>
  <si>
    <t>Reject</t>
  </si>
  <si>
    <t>DHIYA FAZA YUNIAR</t>
  </si>
  <si>
    <t>ODRNO2607210190</t>
  </si>
  <si>
    <t>812PRS20260701409</t>
  </si>
  <si>
    <t>3201046306030004</t>
  </si>
  <si>
    <t>FAJAR NUROCHMAN-0726074</t>
  </si>
  <si>
    <t>HARI WIBOWO</t>
  </si>
  <si>
    <t>ODRNO2607210081</t>
  </si>
  <si>
    <t>802PRS20260702375</t>
  </si>
  <si>
    <t>3604152606870001</t>
  </si>
  <si>
    <t>PRAPTI DWI LESTARI</t>
  </si>
  <si>
    <t>ODRNO2607210097</t>
  </si>
  <si>
    <t>802PRS20260702377</t>
  </si>
  <si>
    <t>3201077001770008</t>
  </si>
  <si>
    <t>f</t>
  </si>
  <si>
    <t>SANDHY BUDIARJO-0726019</t>
  </si>
  <si>
    <t>Neneng Syarifah</t>
  </si>
  <si>
    <t>ODRNO2607210169</t>
  </si>
  <si>
    <t>801PRS20260700930</t>
  </si>
  <si>
    <t>3201015204890011</t>
  </si>
  <si>
    <t>suhaidi S Sos</t>
  </si>
  <si>
    <t>ODRNO2607210069</t>
  </si>
  <si>
    <t>810PRS20260700729</t>
  </si>
  <si>
    <t>810APP20260700029</t>
  </si>
  <si>
    <t>DWI SINTA FEBRIANA-126006</t>
  </si>
  <si>
    <t>HELFIN SINAGA</t>
  </si>
  <si>
    <t>ODRNO2607210059</t>
  </si>
  <si>
    <t>839PRS20260700962</t>
  </si>
  <si>
    <t>1208251511750001</t>
  </si>
  <si>
    <t>JESMON ANDRIKO SINAGA-226043</t>
  </si>
  <si>
    <t>MARA AMAN HARAHAP</t>
  </si>
  <si>
    <t>ODRNO2607210210</t>
  </si>
  <si>
    <t>805PRS20260702731</t>
  </si>
  <si>
    <t>1408041106740011</t>
  </si>
  <si>
    <t>MUSLIM PURBA</t>
  </si>
  <si>
    <t>ODRNO2607210114</t>
  </si>
  <si>
    <t>841PRS20260701242</t>
  </si>
  <si>
    <t>841APP20260700008</t>
  </si>
  <si>
    <t>ERIK ALFIAN</t>
  </si>
  <si>
    <t>ODRNO2607220048</t>
  </si>
  <si>
    <t>838PRS20260702644</t>
  </si>
  <si>
    <t>8381022600044</t>
  </si>
  <si>
    <t>838APP20260700069</t>
  </si>
  <si>
    <t>CHERY</t>
  </si>
  <si>
    <t>3173010307020014</t>
  </si>
  <si>
    <t>B 2459 UYE</t>
  </si>
  <si>
    <t>Kurnia Ramdhanu Aji</t>
  </si>
  <si>
    <t>ODRNO2607220142</t>
  </si>
  <si>
    <t>813PRS20260705555</t>
  </si>
  <si>
    <t>813APP20260700140</t>
  </si>
  <si>
    <t>3273060806840001</t>
  </si>
  <si>
    <t>Deni Aditya</t>
  </si>
  <si>
    <t>ODRNO2607220145</t>
  </si>
  <si>
    <t>813PRS20260705556</t>
  </si>
  <si>
    <t>3277010209880010</t>
  </si>
  <si>
    <t>Pungki Ardiansyah Gunawan</t>
  </si>
  <si>
    <t>ODRNO2607220183</t>
  </si>
  <si>
    <t>813PRS20260705561</t>
  </si>
  <si>
    <t>3277032806780001</t>
  </si>
  <si>
    <t>IWAN SETIAWAN-126173</t>
  </si>
  <si>
    <t>JOHN DANIEL</t>
  </si>
  <si>
    <t>ODRNO2607220088</t>
  </si>
  <si>
    <t>811PRS20260704954</t>
  </si>
  <si>
    <t>352123012760008</t>
  </si>
  <si>
    <t>ROSDIAN HENDRIES RIVANO-326037</t>
  </si>
  <si>
    <t>KOMALASARI</t>
  </si>
  <si>
    <t>ODRNO2607220083</t>
  </si>
  <si>
    <t>812PRS20260701417</t>
  </si>
  <si>
    <t>3215125503820002</t>
  </si>
  <si>
    <t>B1681KIZ</t>
  </si>
  <si>
    <t>OKTI DWIYANTI-0726075</t>
  </si>
  <si>
    <t>ODRNO2607220167</t>
  </si>
  <si>
    <t>812PRS20260701420</t>
  </si>
  <si>
    <t>3201011809790014</t>
  </si>
  <si>
    <t>REZANI-226160</t>
  </si>
  <si>
    <t>CILEGON</t>
  </si>
  <si>
    <t>MUHAMMAD ZEIN</t>
  </si>
  <si>
    <t>ODRNO2607220020</t>
  </si>
  <si>
    <t>833PRS20260700971</t>
  </si>
  <si>
    <t>833APP20260700035</t>
  </si>
  <si>
    <t>BENNY</t>
  </si>
  <si>
    <t>3672070610710001</t>
  </si>
  <si>
    <t>A</t>
  </si>
  <si>
    <t>ALIF APRI HANSYAH-226174</t>
  </si>
  <si>
    <t>KOKO ANDRIAS</t>
  </si>
  <si>
    <t>ODRNO2607220099</t>
  </si>
  <si>
    <t>802PRS20260702395</t>
  </si>
  <si>
    <t>3172030805940008</t>
  </si>
  <si>
    <t>SAHIRUDIN ALFIAN</t>
  </si>
  <si>
    <t>ODRNO2607220100</t>
  </si>
  <si>
    <t>802PRS20260702396</t>
  </si>
  <si>
    <t>3175062008760029</t>
  </si>
  <si>
    <t>HENDHI WIJAYA-0726032</t>
  </si>
  <si>
    <t>ANDRI SETYANTO</t>
  </si>
  <si>
    <t>ODRNO2607220102</t>
  </si>
  <si>
    <t>802PRS20260702397</t>
  </si>
  <si>
    <t>3271042205910016</t>
  </si>
  <si>
    <t>asep</t>
  </si>
  <si>
    <t>ODRNO2607220185</t>
  </si>
  <si>
    <t>802PRS20260702398</t>
  </si>
  <si>
    <t>3275010107820264</t>
  </si>
  <si>
    <t>Muhammad Rizki</t>
  </si>
  <si>
    <t>ODRNO2607220050</t>
  </si>
  <si>
    <t>801PRS20260700933</t>
  </si>
  <si>
    <t>3674062006910007</t>
  </si>
  <si>
    <t>dwi susanti</t>
  </si>
  <si>
    <t>ODRNO2607220041</t>
  </si>
  <si>
    <t>810PRS20260700731</t>
  </si>
  <si>
    <t>1871095101940003</t>
  </si>
  <si>
    <t>L BR simanjuntak</t>
  </si>
  <si>
    <t>ODRNO2607220134</t>
  </si>
  <si>
    <t>810PRS20260700732</t>
  </si>
  <si>
    <t>1801216010680002</t>
  </si>
  <si>
    <t>ASWANDI</t>
  </si>
  <si>
    <t>ODRNO2607220093</t>
  </si>
  <si>
    <t>805PRS20260702747</t>
  </si>
  <si>
    <t>8051032600018</t>
  </si>
  <si>
    <t>805APP20260700081</t>
  </si>
  <si>
    <t>1471080101630491</t>
  </si>
  <si>
    <t>BM 1449 OQ</t>
  </si>
  <si>
    <t>HOLONG SETIAWAN HARIANJA-126048</t>
  </si>
  <si>
    <t>dicky iswadi</t>
  </si>
  <si>
    <t>ODRNO2607220108</t>
  </si>
  <si>
    <t>841PRS20260701251</t>
  </si>
  <si>
    <t>8411022600002</t>
  </si>
  <si>
    <t>841APP20260700011</t>
  </si>
  <si>
    <t>3272010505810001</t>
  </si>
  <si>
    <t>F 8114 VG</t>
  </si>
  <si>
    <t>H sukono</t>
  </si>
  <si>
    <t>ODRNO2607220067</t>
  </si>
  <si>
    <t>819PRS20260701052</t>
  </si>
  <si>
    <t>6402022509670003</t>
  </si>
  <si>
    <t>ANGGA HERDIANA-226003</t>
  </si>
  <si>
    <t>DEDEN RIAN DERMAWAN</t>
  </si>
  <si>
    <t>ODRNO2607230168</t>
  </si>
  <si>
    <t>813PRS20260705577</t>
  </si>
  <si>
    <t>3204461103860002</t>
  </si>
  <si>
    <t>Adam Darmawan</t>
  </si>
  <si>
    <t>ODRNO2607230217</t>
  </si>
  <si>
    <t>813PRS20260705584</t>
  </si>
  <si>
    <t>3273231707910002</t>
  </si>
  <si>
    <t>YOGA ANANG SUKANA-126346</t>
  </si>
  <si>
    <t>RAMA WARDHANA</t>
  </si>
  <si>
    <t>ODRNO2607230107</t>
  </si>
  <si>
    <t>811PRS20260704982</t>
  </si>
  <si>
    <t>3275041004760018</t>
  </si>
  <si>
    <t>MUHAMMAD DONI SEPTYAN-226027</t>
  </si>
  <si>
    <t>riri domeytafeti kasari</t>
  </si>
  <si>
    <t>ODRNO2607230023</t>
  </si>
  <si>
    <t>809PRS20260701321</t>
  </si>
  <si>
    <t>1703165905000001</t>
  </si>
  <si>
    <t>bd 3949 er</t>
  </si>
  <si>
    <t>JEFFRY SUSANTO</t>
  </si>
  <si>
    <t>ODRNO2607230006</t>
  </si>
  <si>
    <t>812PRS20260701422</t>
  </si>
  <si>
    <t>812APP20260700046</t>
  </si>
  <si>
    <t>HINO</t>
  </si>
  <si>
    <t xml:space="preserve">PINJAMAN BU ANA COMMERCIAL SUMBER SALES AGENT PAKET SANTUY REBORN - MODAL USAHA </t>
  </si>
  <si>
    <t>1702090607940002</t>
  </si>
  <si>
    <t>B 9252 UVW</t>
  </si>
  <si>
    <t>SUHERY-226135</t>
  </si>
  <si>
    <t>AZIS LAMAJIDO</t>
  </si>
  <si>
    <t>ODRNO2607230129</t>
  </si>
  <si>
    <t>812PRS20260701426</t>
  </si>
  <si>
    <t>8121022600023</t>
  </si>
  <si>
    <t>812APP20260700033</t>
  </si>
  <si>
    <t>3201011606850003</t>
  </si>
  <si>
    <t>F 1293 PU</t>
  </si>
  <si>
    <t>Muhamad fahmi sanusi</t>
  </si>
  <si>
    <t>ODRNO2607230188</t>
  </si>
  <si>
    <t>812PRS20260701427</t>
  </si>
  <si>
    <t>3201312502010002</t>
  </si>
  <si>
    <t>HASRIYANTO-0626010</t>
  </si>
  <si>
    <t>nur khasanah</t>
  </si>
  <si>
    <t>ODRNO2607230044</t>
  </si>
  <si>
    <t>802PRS20260702407</t>
  </si>
  <si>
    <t>3171056105790001</t>
  </si>
  <si>
    <t>MUHAMAD KARTIMBANG</t>
  </si>
  <si>
    <t>ODRNO2607230053</t>
  </si>
  <si>
    <t>802PRS20260702409</t>
  </si>
  <si>
    <t>3201020305720006</t>
  </si>
  <si>
    <t>riady amartha</t>
  </si>
  <si>
    <t>ODRNO2607230082</t>
  </si>
  <si>
    <t>810PRS20260700733</t>
  </si>
  <si>
    <t>1806271803890002</t>
  </si>
  <si>
    <t>zainudin</t>
  </si>
  <si>
    <t>ODRNO2607230174</t>
  </si>
  <si>
    <t>810PRS20260700736</t>
  </si>
  <si>
    <t>1872010909780006</t>
  </si>
  <si>
    <t>NGATASI PARLINDUNGAN TARIGAN</t>
  </si>
  <si>
    <t>ODRNO2607230104</t>
  </si>
  <si>
    <t>839PRS20260700971</t>
  </si>
  <si>
    <t>1207011703950001</t>
  </si>
  <si>
    <t>ADE GUNA IRAWAN</t>
  </si>
  <si>
    <t>ODRNO2607230002</t>
  </si>
  <si>
    <t>829PRS20260701928</t>
  </si>
  <si>
    <t>8291032600007</t>
  </si>
  <si>
    <t>829APP20260700050</t>
  </si>
  <si>
    <t>6271011711890003</t>
  </si>
  <si>
    <t>KH 1044 BP</t>
  </si>
  <si>
    <t>BOBY. I. RANAN</t>
  </si>
  <si>
    <t>ODRNO2607230226</t>
  </si>
  <si>
    <t>829PRS20260701935</t>
  </si>
  <si>
    <t>829APP20260700051</t>
  </si>
  <si>
    <t>6203120607880003</t>
  </si>
  <si>
    <t>FAJRI ILHAMI</t>
  </si>
  <si>
    <t>ODRNO2607230081</t>
  </si>
  <si>
    <t>805PRS20260702771</t>
  </si>
  <si>
    <t>1408032309990001</t>
  </si>
  <si>
    <t>MASHARI</t>
  </si>
  <si>
    <t>ODRNO2607230036</t>
  </si>
  <si>
    <t>816PRS20260700645</t>
  </si>
  <si>
    <t>3321050408650004</t>
  </si>
  <si>
    <t>g 6677 hh</t>
  </si>
  <si>
    <t>yus eher</t>
  </si>
  <si>
    <t>ODRNO2607230094</t>
  </si>
  <si>
    <t>841PRS20260701253</t>
  </si>
  <si>
    <t>3202171004850007</t>
  </si>
  <si>
    <t>MARYOTO</t>
  </si>
  <si>
    <t>ODRNO2607230018</t>
  </si>
  <si>
    <t>834PRS20260700838</t>
  </si>
  <si>
    <t>3305102707950001</t>
  </si>
  <si>
    <t>HENDRO PURNOMO</t>
  </si>
  <si>
    <t>ODRNO2607240067</t>
  </si>
  <si>
    <t>824PRS20260700733</t>
  </si>
  <si>
    <t>8241032600007</t>
  </si>
  <si>
    <t>824APP20260700029</t>
  </si>
  <si>
    <t>6471052409700007</t>
  </si>
  <si>
    <t>KT 8710 EQ</t>
  </si>
  <si>
    <t>kt 000</t>
  </si>
  <si>
    <t>Taufik Haryadi Sutardi</t>
  </si>
  <si>
    <t>ODRNO2607240023</t>
  </si>
  <si>
    <t>813PRS20260705588</t>
  </si>
  <si>
    <t>813APP20260700143</t>
  </si>
  <si>
    <t>3277032807800043</t>
  </si>
  <si>
    <t>APRIYANTI MANDASARI</t>
  </si>
  <si>
    <t>ODRNO2607240101</t>
  </si>
  <si>
    <t>813PRS20260705596</t>
  </si>
  <si>
    <t>3204115204930007</t>
  </si>
  <si>
    <t>MOCHAMAD SONSON AFIAT SE-126320</t>
  </si>
  <si>
    <t>Setia Permana Wangsadirana A.md</t>
  </si>
  <si>
    <t>ODRNO2607240153</t>
  </si>
  <si>
    <t>813PRS20260705604</t>
  </si>
  <si>
    <t>3273110511800003</t>
  </si>
  <si>
    <t>ASEP DASA ADI RAHMATAN-0726089</t>
  </si>
  <si>
    <t>Julia Agustina Pratiwi</t>
  </si>
  <si>
    <t>ODRNO2607240156</t>
  </si>
  <si>
    <t>813PRS20260705605</t>
  </si>
  <si>
    <t>3273164108890005</t>
  </si>
  <si>
    <t>Rian Ginanjar</t>
  </si>
  <si>
    <t>ODRNO2607240165</t>
  </si>
  <si>
    <t>813PRS20260705607</t>
  </si>
  <si>
    <t>3217140111910003</t>
  </si>
  <si>
    <t>ALI NURACHMAN</t>
  </si>
  <si>
    <t>ODRNO2607240135</t>
  </si>
  <si>
    <t>811PRS20260705014</t>
  </si>
  <si>
    <t>3275013007830018</t>
  </si>
  <si>
    <t>HUMAIROH-326154</t>
  </si>
  <si>
    <t>anton sasriawan</t>
  </si>
  <si>
    <t>ODRNO2607240143</t>
  </si>
  <si>
    <t>809PRS20260701328</t>
  </si>
  <si>
    <t>1771040912870001</t>
  </si>
  <si>
    <t>maria margaretha m</t>
  </si>
  <si>
    <t>ODRNO2607240082</t>
  </si>
  <si>
    <t>812PRS20260701430</t>
  </si>
  <si>
    <t>3172024403710003</t>
  </si>
  <si>
    <t>MUHAMMAD FIQRI RAHMADHAN</t>
  </si>
  <si>
    <t>ODRNO2607240219</t>
  </si>
  <si>
    <t>812PRS20260701435</t>
  </si>
  <si>
    <t>3175082312990004</t>
  </si>
  <si>
    <t>MUHAMMAD FAHMI</t>
  </si>
  <si>
    <t>ODRNO2607240119</t>
  </si>
  <si>
    <t>802PRS20260702424</t>
  </si>
  <si>
    <t>327101070899001</t>
  </si>
  <si>
    <t>EKO SULISTYO UTOMO-0726087</t>
  </si>
  <si>
    <t>AGNETHA FAUSTINA GERMAINE</t>
  </si>
  <si>
    <t>ODRNO2607240121</t>
  </si>
  <si>
    <t>802PRS20260702425</t>
  </si>
  <si>
    <t>3273206006990003</t>
  </si>
  <si>
    <t>BAYU CHARISMAPUTRA</t>
  </si>
  <si>
    <t>ODRNO2607240147</t>
  </si>
  <si>
    <t>802PRS20260702428</t>
  </si>
  <si>
    <t>3674062208860006</t>
  </si>
  <si>
    <t>afifudin</t>
  </si>
  <si>
    <t>ODRNO2607240148</t>
  </si>
  <si>
    <t>810PRS20260700740</t>
  </si>
  <si>
    <t>1871120709760004</t>
  </si>
  <si>
    <t>OPER LUMBAN GAOL</t>
  </si>
  <si>
    <t>ODRNO2607240124</t>
  </si>
  <si>
    <t>839PRS20260700976</t>
  </si>
  <si>
    <t>1271042706630001</t>
  </si>
  <si>
    <t>RISMA SITUMORANG</t>
  </si>
  <si>
    <t>ODRNO2607240136</t>
  </si>
  <si>
    <t>839PRS20260700977</t>
  </si>
  <si>
    <t>1271044706610002</t>
  </si>
  <si>
    <t>PARLINDUNGAN MARBUN</t>
  </si>
  <si>
    <t>ODRNO2607240196</t>
  </si>
  <si>
    <t>839PRS20260700979</t>
  </si>
  <si>
    <t>1271010601750002</t>
  </si>
  <si>
    <t>PRANOTO</t>
  </si>
  <si>
    <t>ODRNO2607240060</t>
  </si>
  <si>
    <t>808PRS20260701939</t>
  </si>
  <si>
    <t>808APP20260700069</t>
  </si>
  <si>
    <t>1607071002030002</t>
  </si>
  <si>
    <t>WINDA ARIYANTI-0726025</t>
  </si>
  <si>
    <t xml:space="preserve">laksamana ryon soemitro </t>
  </si>
  <si>
    <t>ODRNO2607240168</t>
  </si>
  <si>
    <t>819PRS20260701057</t>
  </si>
  <si>
    <t>1216061509780002</t>
  </si>
  <si>
    <t>Sunandar</t>
  </si>
  <si>
    <t>ODRNO2607250022</t>
  </si>
  <si>
    <t>813PRS20260705617</t>
  </si>
  <si>
    <t>8131022600018</t>
  </si>
  <si>
    <t>813APP20260700134</t>
  </si>
  <si>
    <t>3217071503850001</t>
  </si>
  <si>
    <t>D 1698 LI</t>
  </si>
  <si>
    <t>TRI YOGATAMA</t>
  </si>
  <si>
    <t>ODRNO2607250144</t>
  </si>
  <si>
    <t>812PRS20260701437</t>
  </si>
  <si>
    <t>3276021906900005</t>
  </si>
  <si>
    <t>ODRNO2607250062</t>
  </si>
  <si>
    <t>802PRS20260702439</t>
  </si>
  <si>
    <t>3271010708990011</t>
  </si>
  <si>
    <t>SARI NENTI</t>
  </si>
  <si>
    <t>ODRNO2607250150</t>
  </si>
  <si>
    <t>802PRS20260702445</t>
  </si>
  <si>
    <t>1571026703780061</t>
  </si>
  <si>
    <t>KRISTINA-0726072</t>
  </si>
  <si>
    <t>EDDY AHMAD</t>
  </si>
  <si>
    <t>ODRNO2607250080</t>
  </si>
  <si>
    <t>839PRS20260700980</t>
  </si>
  <si>
    <t>1609091402760002</t>
  </si>
  <si>
    <t>JONATAN MIENROAD RUMAHORBO</t>
  </si>
  <si>
    <t>ODRNO2607250069</t>
  </si>
  <si>
    <t>805PRS20260702813</t>
  </si>
  <si>
    <t>1406141504920002</t>
  </si>
  <si>
    <t>FARUQ HUSNI-126107</t>
  </si>
  <si>
    <t>LAMHOT LUMBAN GAOL</t>
  </si>
  <si>
    <t>ODRNO2607250090</t>
  </si>
  <si>
    <t>805PRS20260702815</t>
  </si>
  <si>
    <t>8051032600019</t>
  </si>
  <si>
    <t>805APP20260700091</t>
  </si>
  <si>
    <t>1471121706680021</t>
  </si>
  <si>
    <t>BM 8183 TS</t>
  </si>
  <si>
    <t>yeni setia wati</t>
  </si>
  <si>
    <t>ODRNO2607260015</t>
  </si>
  <si>
    <t>806PRS20260702283</t>
  </si>
  <si>
    <t>2171064401920003</t>
  </si>
  <si>
    <t>PRAMA OVRI ANDI SAPUTRA-0726059</t>
  </si>
  <si>
    <t>romyadi</t>
  </si>
  <si>
    <t>ODRNO2607260054</t>
  </si>
  <si>
    <t>806PRS20260702286</t>
  </si>
  <si>
    <t>2171120405809006</t>
  </si>
  <si>
    <t>NOVITA SIMANJUNTAK</t>
  </si>
  <si>
    <t>ODRNO2607260024</t>
  </si>
  <si>
    <t>812PRS20260701441</t>
  </si>
  <si>
    <t>8121022600025</t>
  </si>
  <si>
    <t>812APP20260700043</t>
  </si>
  <si>
    <t>Agreement Activation</t>
  </si>
  <si>
    <t>Status Aplikasi sudah diklik Agreement Activation</t>
  </si>
  <si>
    <t>1571016311950001</t>
  </si>
  <si>
    <t>B 1225 EYX</t>
  </si>
  <si>
    <t>SAMSI</t>
  </si>
  <si>
    <t>ODRNO2607270125</t>
  </si>
  <si>
    <t>838PRS20260702693</t>
  </si>
  <si>
    <t>3301122806830003</t>
  </si>
  <si>
    <t>B 1583 JFJ</t>
  </si>
  <si>
    <t>MARSINAH</t>
  </si>
  <si>
    <t>ODRNO2607270235</t>
  </si>
  <si>
    <t>838PRS20260702702</t>
  </si>
  <si>
    <t>838APP20260700083</t>
  </si>
  <si>
    <t>3603304903750001</t>
  </si>
  <si>
    <t>A 1472 ATP</t>
  </si>
  <si>
    <t>A 1472 AT</t>
  </si>
  <si>
    <t>RIZKI WAHYUDI</t>
  </si>
  <si>
    <t>ODRNO2607270256</t>
  </si>
  <si>
    <t>813PRS20260705679</t>
  </si>
  <si>
    <t>3201162308950005</t>
  </si>
  <si>
    <t>Adam Purwana</t>
  </si>
  <si>
    <t>ODRNO2607270267</t>
  </si>
  <si>
    <t>813PRS20260705681</t>
  </si>
  <si>
    <t>3205210107960012</t>
  </si>
  <si>
    <t>KURNIATI</t>
  </si>
  <si>
    <t>ODRNO2607270122</t>
  </si>
  <si>
    <t>806PRS20260702298</t>
  </si>
  <si>
    <t>2171125109809012</t>
  </si>
  <si>
    <t>desra eka fitri</t>
  </si>
  <si>
    <t>ODRNO2607270128</t>
  </si>
  <si>
    <t>806PRS20260702299</t>
  </si>
  <si>
    <t>806APP20260700076</t>
  </si>
  <si>
    <t>1304055412930002</t>
  </si>
  <si>
    <t>PUNGKASEPTO HANDADI</t>
  </si>
  <si>
    <t>ODRNO2607270221</t>
  </si>
  <si>
    <t>811PRS20260705078</t>
  </si>
  <si>
    <t>3201312509930001</t>
  </si>
  <si>
    <t>asbuan</t>
  </si>
  <si>
    <t>ODRNO2607270272</t>
  </si>
  <si>
    <t>809PRS20260701341</t>
  </si>
  <si>
    <t>1771040704600004</t>
  </si>
  <si>
    <t>ODRNO2607270108</t>
  </si>
  <si>
    <t>833PRS20260700983</t>
  </si>
  <si>
    <t>Ichwanusshafa</t>
  </si>
  <si>
    <t>MUHAMMAD FEBRYAN WERDHA PANGESTU</t>
  </si>
  <si>
    <t>ODRNO2607270087</t>
  </si>
  <si>
    <t>802PRS20260702463</t>
  </si>
  <si>
    <t>3173070502980003</t>
  </si>
  <si>
    <t>LAURA RONISA HABEAHAN-0726035</t>
  </si>
  <si>
    <t>JATRA RAHARJA</t>
  </si>
  <si>
    <t>ODRNO2607270112</t>
  </si>
  <si>
    <t>802PRS20260702464</t>
  </si>
  <si>
    <t>3674020105030002</t>
  </si>
  <si>
    <t>elizet panjaitan</t>
  </si>
  <si>
    <t>ODRNO2607270289</t>
  </si>
  <si>
    <t>807PRS20260703181</t>
  </si>
  <si>
    <t>Suhardi</t>
  </si>
  <si>
    <t>1571091006880001</t>
  </si>
  <si>
    <t>AGUS SURIADI-126040</t>
  </si>
  <si>
    <t>Mohammad Ali Alkam</t>
  </si>
  <si>
    <t>ODRNO2607270183</t>
  </si>
  <si>
    <t>801PRS20260700957</t>
  </si>
  <si>
    <t>3171040112670001</t>
  </si>
  <si>
    <t>ibnu santoso</t>
  </si>
  <si>
    <t>ODRNO2607270218</t>
  </si>
  <si>
    <t>810PRS20260700746</t>
  </si>
  <si>
    <t>18720427100003</t>
  </si>
  <si>
    <t>ASNIJAR</t>
  </si>
  <si>
    <t>ODRNO2607270066</t>
  </si>
  <si>
    <t>839PRS20260700986</t>
  </si>
  <si>
    <t>1207245708900005</t>
  </si>
  <si>
    <t>Eddy Kusuma</t>
  </si>
  <si>
    <t>ODRNO2607270137</t>
  </si>
  <si>
    <t>829PRS20260701961</t>
  </si>
  <si>
    <t>6271032402850005</t>
  </si>
  <si>
    <t>0.</t>
  </si>
  <si>
    <t>choli widayati</t>
  </si>
  <si>
    <t>ODRNO2607270045</t>
  </si>
  <si>
    <t>819PRS20260701061</t>
  </si>
  <si>
    <t>8191022600013</t>
  </si>
  <si>
    <t>819APP20260700046</t>
  </si>
  <si>
    <t>3515135309720007</t>
  </si>
  <si>
    <t>W 1783 SZ</t>
  </si>
  <si>
    <t>xxxx</t>
  </si>
  <si>
    <t xml:space="preserve">arifin </t>
  </si>
  <si>
    <t>ODRNO2607270275</t>
  </si>
  <si>
    <t>819PRS20260701072</t>
  </si>
  <si>
    <t>3525130105810016</t>
  </si>
  <si>
    <t>JUFRIN</t>
  </si>
  <si>
    <t>ODRNO2607280214</t>
  </si>
  <si>
    <t>838PRS20260702715</t>
  </si>
  <si>
    <t>3603201205720006</t>
  </si>
  <si>
    <t>B 895 WIN</t>
  </si>
  <si>
    <t>AI NURHAYATI SAFITRIE</t>
  </si>
  <si>
    <t>ODRNO2607280082</t>
  </si>
  <si>
    <t>813PRS20260705693</t>
  </si>
  <si>
    <t>8131022600019</t>
  </si>
  <si>
    <t>813APP20260700152</t>
  </si>
  <si>
    <t>3204324509730008</t>
  </si>
  <si>
    <t>D 1014 AHL</t>
  </si>
  <si>
    <t>HASAN</t>
  </si>
  <si>
    <t>ODRNO2607280115</t>
  </si>
  <si>
    <t>813PRS20260705698</t>
  </si>
  <si>
    <t>3217100101880012</t>
  </si>
  <si>
    <t>MUSLIH</t>
  </si>
  <si>
    <t>ODRNO2607280124</t>
  </si>
  <si>
    <t>811PRS20260705092</t>
  </si>
  <si>
    <t>3374021910700001</t>
  </si>
  <si>
    <t>BAGUS WICAKSONO</t>
  </si>
  <si>
    <t>ODRNO2607280199</t>
  </si>
  <si>
    <t>811PRS20260705107</t>
  </si>
  <si>
    <t>DEEDATU.DURBANUSATU</t>
  </si>
  <si>
    <t>3175101502880004</t>
  </si>
  <si>
    <t>muhamad hasan basri</t>
  </si>
  <si>
    <t>ODRNO2607280007</t>
  </si>
  <si>
    <t>812PRS20260701457</t>
  </si>
  <si>
    <t>3603042006870002</t>
  </si>
  <si>
    <t>F1544AT</t>
  </si>
  <si>
    <t>AYI SOBARI</t>
  </si>
  <si>
    <t>ODRNO2607280068</t>
  </si>
  <si>
    <t>833PRS20260700987</t>
  </si>
  <si>
    <t>833APP20260700041</t>
  </si>
  <si>
    <t>abdul.hadi</t>
  </si>
  <si>
    <t>3604100103700290</t>
  </si>
  <si>
    <t>KETUT WIDARA</t>
  </si>
  <si>
    <t>ODRNO2607280040</t>
  </si>
  <si>
    <t>821PRS20260700798</t>
  </si>
  <si>
    <t>5108062104790003</t>
  </si>
  <si>
    <t>dk</t>
  </si>
  <si>
    <t>I MADE AGUS SURYAWAN-226093</t>
  </si>
  <si>
    <t>DWI WAHYUNI SUSINAWANTI</t>
  </si>
  <si>
    <t>ODRNO2607280071</t>
  </si>
  <si>
    <t>802PRS20260702483</t>
  </si>
  <si>
    <t>AION</t>
  </si>
  <si>
    <t>3217015104870010</t>
  </si>
  <si>
    <t>SAUT MAROJAHAN HUTAPEA</t>
  </si>
  <si>
    <t>ODRNO2607280092</t>
  </si>
  <si>
    <t>802PRS20260702485</t>
  </si>
  <si>
    <t>3273101706780002</t>
  </si>
  <si>
    <t>sahroni</t>
  </si>
  <si>
    <t>ODRNO2607280130</t>
  </si>
  <si>
    <t>810PRS20260700750</t>
  </si>
  <si>
    <t>1801141705840001</t>
  </si>
  <si>
    <t>HATOGUAN GUNAWAN HARAHAP</t>
  </si>
  <si>
    <t>ODRNO2607280183</t>
  </si>
  <si>
    <t>805PRS20260702864</t>
  </si>
  <si>
    <t>805APP20260700101</t>
  </si>
  <si>
    <t>RAFFI.SHIDIQ1</t>
  </si>
  <si>
    <t>1271132009900003</t>
  </si>
  <si>
    <t>NOVIKA JAYA VINA</t>
  </si>
  <si>
    <t>ODRNO2607280091</t>
  </si>
  <si>
    <t>816PRS20260700655</t>
  </si>
  <si>
    <t>3317106001830002</t>
  </si>
  <si>
    <t>K1080CD</t>
  </si>
  <si>
    <t>RIANA</t>
  </si>
  <si>
    <t>ODRNO2607290214</t>
  </si>
  <si>
    <t>838PRS20260702739</t>
  </si>
  <si>
    <t>8381022600046</t>
  </si>
  <si>
    <t>838APP20260700088</t>
  </si>
  <si>
    <t>3173086706920001</t>
  </si>
  <si>
    <t>B 1076 WII</t>
  </si>
  <si>
    <t>ODIN</t>
  </si>
  <si>
    <t>ODRNO2607290181</t>
  </si>
  <si>
    <t>813PRS20260705733</t>
  </si>
  <si>
    <t>3217071206780023</t>
  </si>
  <si>
    <t>gusti defranda</t>
  </si>
  <si>
    <t>ODRNO2607290233</t>
  </si>
  <si>
    <t>836PRS20260700574</t>
  </si>
  <si>
    <t>836APP20260700025</t>
  </si>
  <si>
    <t>mahdi.rahmaniah</t>
  </si>
  <si>
    <t>1904021512860002</t>
  </si>
  <si>
    <t>freddy juliantony</t>
  </si>
  <si>
    <t>ODRNO2607290195</t>
  </si>
  <si>
    <t>825PRS20260700497</t>
  </si>
  <si>
    <t>ISUZU</t>
  </si>
  <si>
    <t>6372023107730002</t>
  </si>
  <si>
    <t>LAURENT PUTRA</t>
  </si>
  <si>
    <t>ODRNO2607290034</t>
  </si>
  <si>
    <t>811PRS20260705113</t>
  </si>
  <si>
    <t>811APP20260700167</t>
  </si>
  <si>
    <t>mohamad petir syahadha st</t>
  </si>
  <si>
    <t>ODRNO2607290089</t>
  </si>
  <si>
    <t>809PRS20260701350</t>
  </si>
  <si>
    <t>1701110510810001</t>
  </si>
  <si>
    <t>asep soviyullah</t>
  </si>
  <si>
    <t>ODRNO2607290223</t>
  </si>
  <si>
    <t>812PRS20260701469</t>
  </si>
  <si>
    <t>3201241005970005</t>
  </si>
  <si>
    <t>F1572WM</t>
  </si>
  <si>
    <t>IDA BAGUS MADE SUMARIYASA</t>
  </si>
  <si>
    <t>ODRNO2607290038</t>
  </si>
  <si>
    <t>821PRS20260700804</t>
  </si>
  <si>
    <t>5104020405920001</t>
  </si>
  <si>
    <t>MEGA WIJAYA</t>
  </si>
  <si>
    <t>ODRNO2607290111</t>
  </si>
  <si>
    <t>802PRS20260702505</t>
  </si>
  <si>
    <t>802APP20260700076</t>
  </si>
  <si>
    <t>Credit Approval</t>
  </si>
  <si>
    <t>Status Credit Review</t>
  </si>
  <si>
    <t>3671056806880005</t>
  </si>
  <si>
    <t>ANTON BUDIANTO-326068</t>
  </si>
  <si>
    <t>EKO YUDHIANTONO</t>
  </si>
  <si>
    <t>ODRNO2607290126</t>
  </si>
  <si>
    <t>802PRS20260702507</t>
  </si>
  <si>
    <t>3171030301830009</t>
  </si>
  <si>
    <t>BAMBANG SETIAWAN-0726050</t>
  </si>
  <si>
    <t>R RAISON SUNDAIS</t>
  </si>
  <si>
    <t>ODRNO2607290131</t>
  </si>
  <si>
    <t>802PRS20260702509</t>
  </si>
  <si>
    <t>3276080612810001</t>
  </si>
  <si>
    <t>Jumintri Naura Fitria Mashel</t>
  </si>
  <si>
    <t>ODRNO2607290041</t>
  </si>
  <si>
    <t>801PRS20260700960</t>
  </si>
  <si>
    <t>1810015111940003</t>
  </si>
  <si>
    <t>aris sarbini ms</t>
  </si>
  <si>
    <t>ODRNO2607290112</t>
  </si>
  <si>
    <t>810PRS20260700752</t>
  </si>
  <si>
    <t>1871071508730008</t>
  </si>
  <si>
    <t>HATMI MARDIYANSYAH</t>
  </si>
  <si>
    <t>ODRNO2607290109</t>
  </si>
  <si>
    <t>839PRS20260700995</t>
  </si>
  <si>
    <t>1205092305930006</t>
  </si>
  <si>
    <t>AFRIZAL</t>
  </si>
  <si>
    <t>ODRNO2607290177</t>
  </si>
  <si>
    <t>805PRS20260702874</t>
  </si>
  <si>
    <t>1401092504720001</t>
  </si>
  <si>
    <t>rina angelina</t>
  </si>
  <si>
    <t>ODRNO2607290194</t>
  </si>
  <si>
    <t>841PRS20260701276</t>
  </si>
  <si>
    <t>3203036604930001</t>
  </si>
  <si>
    <t>arthario akbar seputra</t>
  </si>
  <si>
    <t>ODRNO2607290005</t>
  </si>
  <si>
    <t>819PRS20260701079</t>
  </si>
  <si>
    <t>3515080806860001</t>
  </si>
  <si>
    <t>sri sedhono</t>
  </si>
  <si>
    <t>ODRNO2607290134</t>
  </si>
  <si>
    <t>819PRS20260701080</t>
  </si>
  <si>
    <t>3578051601770003</t>
  </si>
  <si>
    <t>WAHYU ANGGARA</t>
  </si>
  <si>
    <t>ODRNO2607290065</t>
  </si>
  <si>
    <t>834PRS20260700862</t>
  </si>
  <si>
    <t>3322101807890003</t>
  </si>
  <si>
    <t>BAMBANG SUTOPO</t>
  </si>
  <si>
    <t>ODRNO2607290156</t>
  </si>
  <si>
    <t>834PRS20260700863</t>
  </si>
  <si>
    <t>3403040501820003</t>
  </si>
  <si>
    <t>DAMANHURI</t>
  </si>
  <si>
    <t>ODRNO2607300083</t>
  </si>
  <si>
    <t>838PRS20260702746</t>
  </si>
  <si>
    <t>3674011208770007</t>
  </si>
  <si>
    <t>B 1114 JUW</t>
  </si>
  <si>
    <t>STEVANO ADRIAN</t>
  </si>
  <si>
    <t>ODRNO2607300036</t>
  </si>
  <si>
    <t>824PRS20260700752</t>
  </si>
  <si>
    <t>YUDHISTIRA PUTRA MARENTEK</t>
  </si>
  <si>
    <t>1471042409760001</t>
  </si>
  <si>
    <t>bxxxx</t>
  </si>
  <si>
    <t>Didi</t>
  </si>
  <si>
    <t>ODRNO2607300049</t>
  </si>
  <si>
    <t>813PRS20260705747</t>
  </si>
  <si>
    <t>813APP20260700161</t>
  </si>
  <si>
    <t>3273250909630002</t>
  </si>
  <si>
    <t>Rafid Rizqulloh</t>
  </si>
  <si>
    <t>ODRNO2607300057</t>
  </si>
  <si>
    <t>813PRS20260705750</t>
  </si>
  <si>
    <t>3204171512960002</t>
  </si>
  <si>
    <t>DEJAN AGUSTINA-0726092</t>
  </si>
  <si>
    <t>januarita ulyartha</t>
  </si>
  <si>
    <t>ODRNO2607300022</t>
  </si>
  <si>
    <t>806PRS20260702340</t>
  </si>
  <si>
    <t>2171064401820008</t>
  </si>
  <si>
    <t>BELITUNG</t>
  </si>
  <si>
    <t>SUSANTO</t>
  </si>
  <si>
    <t>ODRNO2607300132</t>
  </si>
  <si>
    <t>837PRS20260700122</t>
  </si>
  <si>
    <t>LISDEWATI BR SIMBOLON</t>
  </si>
  <si>
    <t>1906012404890003</t>
  </si>
  <si>
    <t>BN</t>
  </si>
  <si>
    <t>ROSALIA CHAIRUN NISYA-0726097</t>
  </si>
  <si>
    <t>ego miko purwanto</t>
  </si>
  <si>
    <t>ODRNO2607300033</t>
  </si>
  <si>
    <t>809PRS20260701355</t>
  </si>
  <si>
    <t>1701082801990002</t>
  </si>
  <si>
    <t>bd 3948 er</t>
  </si>
  <si>
    <t>janatul hakim</t>
  </si>
  <si>
    <t>ODRNO2607300156</t>
  </si>
  <si>
    <t>809PRS20260701359</t>
  </si>
  <si>
    <t>1708021305690002</t>
  </si>
  <si>
    <t>bd 3939 er</t>
  </si>
  <si>
    <t>DAMIS</t>
  </si>
  <si>
    <t>ODRNO2607300042</t>
  </si>
  <si>
    <t>802PRS20260702517</t>
  </si>
  <si>
    <t>3312162601840001</t>
  </si>
  <si>
    <t>adita viston by akta</t>
  </si>
  <si>
    <t>ODRNO2607300037</t>
  </si>
  <si>
    <t>810PRS20260700755</t>
  </si>
  <si>
    <t>1871100909880003</t>
  </si>
  <si>
    <t>DARNI YANTI</t>
  </si>
  <si>
    <t>ODRNO2607300071</t>
  </si>
  <si>
    <t>805PRS20260702882</t>
  </si>
  <si>
    <t>1401094406850001</t>
  </si>
  <si>
    <t>MUHAMMAD SYUKRI</t>
  </si>
  <si>
    <t>ODRNO2607300127</t>
  </si>
  <si>
    <t>805PRS20260702889</t>
  </si>
  <si>
    <t>1308071503900002</t>
  </si>
  <si>
    <t>SYAFITRA-126096</t>
  </si>
  <si>
    <t>NURSALIM</t>
  </si>
  <si>
    <t>ODRNO2607300119</t>
  </si>
  <si>
    <t>816PRS20260700664</t>
  </si>
  <si>
    <t>3322011506920001</t>
  </si>
  <si>
    <t>h 9539 bv</t>
  </si>
  <si>
    <t>AMRI RIFAIH</t>
  </si>
  <si>
    <t>ODRNO2607310171</t>
  </si>
  <si>
    <t>838PRS20260702756</t>
  </si>
  <si>
    <t>3173060609850012</t>
  </si>
  <si>
    <t>B 2473 BFH</t>
  </si>
  <si>
    <t>H AHMAD SARULI</t>
  </si>
  <si>
    <t>ODRNO2607310176</t>
  </si>
  <si>
    <t>838PRS20260702757</t>
  </si>
  <si>
    <t>3604251003830004</t>
  </si>
  <si>
    <t>Septian Aditia</t>
  </si>
  <si>
    <t>ODRNO2607310139</t>
  </si>
  <si>
    <t>836PRS20260700579</t>
  </si>
  <si>
    <t>RAMADHAN TRITAMA</t>
  </si>
  <si>
    <t>1971051109910001</t>
  </si>
  <si>
    <t>MAHDI-126257</t>
  </si>
  <si>
    <t>ADHANURARAHIM REIZANI A</t>
  </si>
  <si>
    <t>ODRNO2607310012</t>
  </si>
  <si>
    <t>811PRS20260705159</t>
  </si>
  <si>
    <t>3175042809820006</t>
  </si>
  <si>
    <t>IRVAN MAULANA</t>
  </si>
  <si>
    <t>ODRNO2607310069</t>
  </si>
  <si>
    <t>811PRS20260705164</t>
  </si>
  <si>
    <t>3271061209790012</t>
  </si>
  <si>
    <t>ADE ZARKASIH</t>
  </si>
  <si>
    <t>ODRNO2607310076</t>
  </si>
  <si>
    <t>811PRS20260705165</t>
  </si>
  <si>
    <t>3201022510800002</t>
  </si>
  <si>
    <t>MUHAMMAD FATHIR SYAARASY-126197</t>
  </si>
  <si>
    <t>RAHMAD JIBNO</t>
  </si>
  <si>
    <t>ODRNO2607310097</t>
  </si>
  <si>
    <t>811PRS20260705167</t>
  </si>
  <si>
    <t>3529161006790002</t>
  </si>
  <si>
    <t>OKTAVIANUS ANTONI</t>
  </si>
  <si>
    <t>ODRNO2607310099</t>
  </si>
  <si>
    <t>811PRS20260705168</t>
  </si>
  <si>
    <t>3216052610800006</t>
  </si>
  <si>
    <t>MOCHAMMAD JAKA ABDUL FATAH</t>
  </si>
  <si>
    <t>ODRNO2607310115</t>
  </si>
  <si>
    <t>811PRS20260705169</t>
  </si>
  <si>
    <t>3216052811890001</t>
  </si>
  <si>
    <t>TITO-126368</t>
  </si>
  <si>
    <t>JUBAEDAH</t>
  </si>
  <si>
    <t>ODRNO2607310183</t>
  </si>
  <si>
    <t>811PRS20260705175</t>
  </si>
  <si>
    <t>3171025304810005</t>
  </si>
  <si>
    <t>RAMDHANI JOHN ANWAR</t>
  </si>
  <si>
    <t>ODRNO2607310185</t>
  </si>
  <si>
    <t>811PRS20260705176</t>
  </si>
  <si>
    <t>3216072205850004</t>
  </si>
  <si>
    <t>YOSSI NEVARISTA BASYIR</t>
  </si>
  <si>
    <t>ODRNO2607310140</t>
  </si>
  <si>
    <t>812PRS20260701475</t>
  </si>
  <si>
    <t>3271031505720014</t>
  </si>
  <si>
    <t>WULAN ROHANI</t>
  </si>
  <si>
    <t>ODRNO2607310104</t>
  </si>
  <si>
    <t>802PRS20260702536</t>
  </si>
  <si>
    <t>3172054305870001</t>
  </si>
  <si>
    <t>JATIKA SAPUTRA</t>
  </si>
  <si>
    <t>ODRNO2607310107</t>
  </si>
  <si>
    <t>802PRS20260702537</t>
  </si>
  <si>
    <t>3216123107890001</t>
  </si>
  <si>
    <t>DIAN APRILYANI</t>
  </si>
  <si>
    <t>ODRNO2607310155</t>
  </si>
  <si>
    <t>802PRS20260702539</t>
  </si>
  <si>
    <t>3216067004860002</t>
  </si>
  <si>
    <t>TUMPAL SIALLAGAN</t>
  </si>
  <si>
    <t>ODRNO2607310160</t>
  </si>
  <si>
    <t>802PRS20260702540</t>
  </si>
  <si>
    <t>3174092306770007</t>
  </si>
  <si>
    <t>ANDRI</t>
  </si>
  <si>
    <t>ODRNO2607310164</t>
  </si>
  <si>
    <t>802PRS20260702541</t>
  </si>
  <si>
    <t>1809041708910005</t>
  </si>
  <si>
    <t>Tulus Priyono</t>
  </si>
  <si>
    <t>ODRNO2607310074</t>
  </si>
  <si>
    <t>801PRS20260700970</t>
  </si>
  <si>
    <t>3301181310950004</t>
  </si>
  <si>
    <t>Kristina</t>
  </si>
  <si>
    <t>ODRNO2607310122</t>
  </si>
  <si>
    <t>801PRS20260700972</t>
  </si>
  <si>
    <t>3275075506860094</t>
  </si>
  <si>
    <t>Ahmad Najiyullah</t>
  </si>
  <si>
    <t>ODRNO2607310125</t>
  </si>
  <si>
    <t>801PRS20260700973</t>
  </si>
  <si>
    <t>CBAS Checked</t>
  </si>
  <si>
    <t>Data New yang sudah memiliki scoring (CBAS,dll.)</t>
  </si>
  <si>
    <t>3604012804030296</t>
  </si>
  <si>
    <t>MUHAMMAD RAIHAN IHSANI-0626030</t>
  </si>
  <si>
    <t>Supardi</t>
  </si>
  <si>
    <t>ODRNO2607310129</t>
  </si>
  <si>
    <t>801PRS20260700974</t>
  </si>
  <si>
    <t>3601311508920002</t>
  </si>
  <si>
    <t>Haryanto</t>
  </si>
  <si>
    <t>ODRNO2607310165</t>
  </si>
  <si>
    <t>801PRS20260700975</t>
  </si>
  <si>
    <t>7403272005940001</t>
  </si>
  <si>
    <t>sofyan santo petrus simbolon</t>
  </si>
  <si>
    <t>ODRNO2607310166</t>
  </si>
  <si>
    <t>801PRS20260700976</t>
  </si>
  <si>
    <t>1207021009920003</t>
  </si>
  <si>
    <t>MUHAMMAD AL QORNI AKBAR-0626033</t>
  </si>
  <si>
    <t>celvin elvandy</t>
  </si>
  <si>
    <t>ODRNO2607310167</t>
  </si>
  <si>
    <t>801PRS20260700977</t>
  </si>
  <si>
    <t>3305251607030001</t>
  </si>
  <si>
    <t>Doni darmawan tikoalu</t>
  </si>
  <si>
    <t>ODRNO2607310169</t>
  </si>
  <si>
    <t>801PRS20260700978</t>
  </si>
  <si>
    <t>7471050607010003</t>
  </si>
  <si>
    <t>ir arief ismunandar</t>
  </si>
  <si>
    <t>ODRNO2607310172</t>
  </si>
  <si>
    <t>801PRS20260700979</t>
  </si>
  <si>
    <t>3216060501730001</t>
  </si>
  <si>
    <t>ANANDA DEWI NARITA-0626020</t>
  </si>
  <si>
    <t>qanita nurul dyana</t>
  </si>
  <si>
    <t>ODRNO2607310175</t>
  </si>
  <si>
    <t>801PRS20260700980</t>
  </si>
  <si>
    <t>3273164509980001</t>
  </si>
  <si>
    <t>Yana Suryana</t>
  </si>
  <si>
    <t>ODRNO2607310178</t>
  </si>
  <si>
    <t>801PRS20260700981</t>
  </si>
  <si>
    <t>3272021501700021</t>
  </si>
  <si>
    <t>Medalin oey</t>
  </si>
  <si>
    <t>ODRNO2607310180</t>
  </si>
  <si>
    <t>801PRS20260700982</t>
  </si>
  <si>
    <t>1271106605940004</t>
  </si>
  <si>
    <t>Eduward Parlindungan</t>
  </si>
  <si>
    <t>ODRNO2607310181</t>
  </si>
  <si>
    <t>801PRS20260700983</t>
  </si>
  <si>
    <t>3173022806780006</t>
  </si>
  <si>
    <t>Erlangga</t>
  </si>
  <si>
    <t>ODRNO2607310182</t>
  </si>
  <si>
    <t>801PRS20260700984</t>
  </si>
  <si>
    <t>3172030802860002</t>
  </si>
  <si>
    <t>Irwan</t>
  </si>
  <si>
    <t>ODRNO2607310186</t>
  </si>
  <si>
    <t>801PRS20260700985</t>
  </si>
  <si>
    <t>320137373010890002</t>
  </si>
  <si>
    <t>Emy Febriani</t>
  </si>
  <si>
    <t>ODRNO2607310188</t>
  </si>
  <si>
    <t>801PRS20260700986</t>
  </si>
  <si>
    <t>1671085902720004</t>
  </si>
  <si>
    <t>euis suprianti</t>
  </si>
  <si>
    <t>ODRNO2607310191</t>
  </si>
  <si>
    <t>801PRS20260700987</t>
  </si>
  <si>
    <t>3272025001720081</t>
  </si>
  <si>
    <t>Nurul Tiara Pulungan</t>
  </si>
  <si>
    <t>ODRNO2607310193</t>
  </si>
  <si>
    <t>801PRS20260700988</t>
  </si>
  <si>
    <t>3672055905890001</t>
  </si>
  <si>
    <t>sepi isri nafisah</t>
  </si>
  <si>
    <t>ODRNO2607310058</t>
  </si>
  <si>
    <t>810PRS20260700758</t>
  </si>
  <si>
    <t>1871047009960003</t>
  </si>
  <si>
    <t xml:space="preserve">kandarsyah se </t>
  </si>
  <si>
    <t>ODRNO2607310119</t>
  </si>
  <si>
    <t>810PRS20260700759</t>
  </si>
  <si>
    <t>1812020311750003</t>
  </si>
  <si>
    <t>nur hayati</t>
  </si>
  <si>
    <t>ODRNO2607310126</t>
  </si>
  <si>
    <t>810PRS20260700760</t>
  </si>
  <si>
    <t>1871104606670009</t>
  </si>
  <si>
    <t>muchzan zain</t>
  </si>
  <si>
    <t>ODRNO2607310135</t>
  </si>
  <si>
    <t>810PRS20260700763</t>
  </si>
  <si>
    <t>1871032703640004</t>
  </si>
  <si>
    <t>lia septina</t>
  </si>
  <si>
    <t>ODRNO2607310137</t>
  </si>
  <si>
    <t>810PRS20260700764</t>
  </si>
  <si>
    <t>1808015209800010</t>
  </si>
  <si>
    <t>erik yanwar</t>
  </si>
  <si>
    <t>ODRNO2607310138</t>
  </si>
  <si>
    <t>810PRS20260700765</t>
  </si>
  <si>
    <t>1809062001840001</t>
  </si>
  <si>
    <t>alkausar</t>
  </si>
  <si>
    <t>ODRNO2607310141</t>
  </si>
  <si>
    <t>810PRS20260700766</t>
  </si>
  <si>
    <t>1801130201700004</t>
  </si>
  <si>
    <t>yusuf adi putra</t>
  </si>
  <si>
    <t>ODRNO2607310143</t>
  </si>
  <si>
    <t>810PRS20260700767</t>
  </si>
  <si>
    <t>1871021811990001</t>
  </si>
  <si>
    <t>INDRA LESMANA</t>
  </si>
  <si>
    <t>ODRNO2607310048</t>
  </si>
  <si>
    <t>839PRS20260701004</t>
  </si>
  <si>
    <t>1271040205950001</t>
  </si>
  <si>
    <t>HENDRA</t>
  </si>
  <si>
    <t>ODRNO2607310050</t>
  </si>
  <si>
    <t>839PRS20260701005</t>
  </si>
  <si>
    <t>1271080401900003</t>
  </si>
  <si>
    <t>HAPRIDA</t>
  </si>
  <si>
    <t>ODRNO2607310053</t>
  </si>
  <si>
    <t>839PRS20260701006</t>
  </si>
  <si>
    <t>120507461060003</t>
  </si>
  <si>
    <t>RABBINA ZAMZANI</t>
  </si>
  <si>
    <t>ODRNO2607310055</t>
  </si>
  <si>
    <t>839PRS20260701007</t>
  </si>
  <si>
    <t>1205071007020007</t>
  </si>
  <si>
    <t>RAHMAD AFFANDI LUBIS</t>
  </si>
  <si>
    <t>ODRNO2607310057</t>
  </si>
  <si>
    <t>839PRS20260701008</t>
  </si>
  <si>
    <t>1271093010930002</t>
  </si>
  <si>
    <t>GADIS AISYAH</t>
  </si>
  <si>
    <t>ODRNO2607310061</t>
  </si>
  <si>
    <t>839PRS20260701009</t>
  </si>
  <si>
    <t>1271035602950001</t>
  </si>
  <si>
    <t>SOPANTA OKTAVIANUS NAINGGOLAN</t>
  </si>
  <si>
    <t>ODRNO2607310063</t>
  </si>
  <si>
    <t>839PRS20260701010</t>
  </si>
  <si>
    <t>1271032410010009</t>
  </si>
  <si>
    <t>TARDIJON M PANJAITAN SH</t>
  </si>
  <si>
    <t>ODRNO2607310064</t>
  </si>
  <si>
    <t>839PRS20260701011</t>
  </si>
  <si>
    <t>1271202306700002</t>
  </si>
  <si>
    <t>M ADE WIRANATA</t>
  </si>
  <si>
    <t>ODRNO2607310065</t>
  </si>
  <si>
    <t>839PRS20260701012</t>
  </si>
  <si>
    <t>1207230409940001</t>
  </si>
  <si>
    <t>PARWIS PUTRA DALIMUNTHE</t>
  </si>
  <si>
    <t>ODRNO2607310067</t>
  </si>
  <si>
    <t>839PRS20260701013</t>
  </si>
  <si>
    <t>1271041111830001</t>
  </si>
  <si>
    <t>KAFRI ASWAR</t>
  </si>
  <si>
    <t>ODRNO2607310049</t>
  </si>
  <si>
    <t>808PRS20260701983</t>
  </si>
  <si>
    <t>1603041509860004</t>
  </si>
  <si>
    <t>ANDI TIASUHARDI-0726091</t>
  </si>
  <si>
    <t>BONTEK</t>
  </si>
  <si>
    <t>ODRNO2607310054</t>
  </si>
  <si>
    <t>808PRS20260701984</t>
  </si>
  <si>
    <t>1607120809770001</t>
  </si>
  <si>
    <t>HARDAFI-0726055</t>
  </si>
  <si>
    <t>DEDEK ARDETA</t>
  </si>
  <si>
    <t>ODRNO2607310062</t>
  </si>
  <si>
    <t>808PRS20260701985</t>
  </si>
  <si>
    <t>1606014911000005</t>
  </si>
  <si>
    <t>RINOP ASEPTA-0726095</t>
  </si>
  <si>
    <t>ARMILA UTAMI</t>
  </si>
  <si>
    <t>ODRNO2607310068</t>
  </si>
  <si>
    <t>808PRS20260701986</t>
  </si>
  <si>
    <t>1610055705980003</t>
  </si>
  <si>
    <t>YOGA PUTRA PRATAMA-0726096</t>
  </si>
  <si>
    <t>DURRIA HAZMI</t>
  </si>
  <si>
    <t>ODRNO2607310075</t>
  </si>
  <si>
    <t>808PRS20260701987</t>
  </si>
  <si>
    <t>1671046807930014</t>
  </si>
  <si>
    <t>PRIANGGA OKTA WIJAYA-0726084</t>
  </si>
  <si>
    <t>AISAH</t>
  </si>
  <si>
    <t>ODRNO2607310179</t>
  </si>
  <si>
    <t>805PRS20260702915</t>
  </si>
  <si>
    <t>3210266805800001</t>
  </si>
  <si>
    <t>SYOFYANDI</t>
  </si>
  <si>
    <t>ODRNO2607310184</t>
  </si>
  <si>
    <t>805PRS20260702916</t>
  </si>
  <si>
    <t>1401062212760004</t>
  </si>
  <si>
    <t>SENO ADI WIBOWO</t>
  </si>
  <si>
    <t>ODRNO2607310187</t>
  </si>
  <si>
    <t>805PRS20260702917</t>
  </si>
  <si>
    <t>1403132903690001</t>
  </si>
  <si>
    <t>HENDRA PARLINDUNGAN</t>
  </si>
  <si>
    <t>ODRNO2607310190</t>
  </si>
  <si>
    <t>805PRS20260702918</t>
  </si>
  <si>
    <t>1471122007910001</t>
  </si>
  <si>
    <t>MUHAMMAD FARID OSAMA</t>
  </si>
  <si>
    <t>ODRNO2607310192</t>
  </si>
  <si>
    <t>805PRS20260702919</t>
  </si>
  <si>
    <t>1271010405020001</t>
  </si>
  <si>
    <t>Update app in</t>
  </si>
  <si>
    <t>Total installment</t>
  </si>
  <si>
    <t>Summary Slik</t>
  </si>
  <si>
    <t>Type Nasabah</t>
  </si>
  <si>
    <t>New Customer</t>
  </si>
  <si>
    <t>Type Agent</t>
  </si>
  <si>
    <t>External</t>
  </si>
  <si>
    <t>Internal</t>
  </si>
  <si>
    <t>Repeat Order</t>
  </si>
  <si>
    <t>Status Survey</t>
  </si>
  <si>
    <t>8121022600026</t>
  </si>
  <si>
    <t>F 1561 QH</t>
  </si>
  <si>
    <t>August</t>
  </si>
  <si>
    <t>New NAP</t>
  </si>
  <si>
    <t>credit Scoring / New NAP</t>
  </si>
  <si>
    <t>8361022600002</t>
  </si>
  <si>
    <t>BN 1426 AVP</t>
  </si>
  <si>
    <t>D 1772 AAO</t>
  </si>
  <si>
    <t>UTARI.HARFADILA2</t>
  </si>
  <si>
    <t>EDI NOFRI</t>
  </si>
  <si>
    <t>ODRNO2607310229</t>
  </si>
  <si>
    <t>824PRS20260700759</t>
  </si>
  <si>
    <t>6471050811860006</t>
  </si>
  <si>
    <t>ktxxxx</t>
  </si>
  <si>
    <t>HERWAN MASRULI-126393</t>
  </si>
  <si>
    <t>KURNIAWATI</t>
  </si>
  <si>
    <t>ODRNO2608010007</t>
  </si>
  <si>
    <t>806PRS20260802361</t>
  </si>
  <si>
    <t>ADVENTUS CHRISTIAN RICO-226018</t>
  </si>
  <si>
    <t>muhamad sulton nawawi</t>
  </si>
  <si>
    <t>ODRNO2608010102</t>
  </si>
  <si>
    <t>811PRS20260805194</t>
  </si>
  <si>
    <t>3172030603820016</t>
  </si>
  <si>
    <t>AYU LISTIYONINGSIH</t>
  </si>
  <si>
    <t>ODRNO2608010079</t>
  </si>
  <si>
    <t>812PRS20260801482</t>
  </si>
  <si>
    <t>3271036511840009</t>
  </si>
  <si>
    <t>Syahras fhanhar</t>
  </si>
  <si>
    <t>ODRNO2608010017</t>
  </si>
  <si>
    <t>801PRS20260800990</t>
  </si>
  <si>
    <t>3174092708890005</t>
  </si>
  <si>
    <t xml:space="preserve">nirwan chandra </t>
  </si>
  <si>
    <t>ODRNO2608010012</t>
  </si>
  <si>
    <t>810PRS20260800770</t>
  </si>
  <si>
    <t>1871010508790013</t>
  </si>
  <si>
    <t>TIARA RATU PUSPITA HAKIM-126017</t>
  </si>
  <si>
    <t>I WAYAN SUKANADA</t>
  </si>
  <si>
    <t>ODRNO2608030029</t>
  </si>
  <si>
    <t>821PRS20260800820</t>
  </si>
  <si>
    <t>New Data</t>
  </si>
  <si>
    <t>Data awal penginputan dari halaman landing page Buana</t>
  </si>
  <si>
    <t>5171011510670006</t>
  </si>
  <si>
    <t>I MADE DWI ISWAYANA</t>
  </si>
  <si>
    <t>ODRNO2608030033</t>
  </si>
  <si>
    <t>821PRS20260800821</t>
  </si>
  <si>
    <t>5101032211760002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</si>
</sst>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DF63-2CA4-46CF-BBB6-3768DD3BBB30}">
  <dimension ref="A1:Y488"/>
  <sheetViews>
    <sheetView tabSelected="1" topLeftCell="A453" workbookViewId="0">
      <selection activeCell="A486" sqref="A486:U488"/>
    </sheetView>
  </sheetViews>
  <sheetFormatPr defaultRowHeight="15" x14ac:dyDescent="0.25"/>
  <cols>
    <col min="1" max="1" width="4" bestFit="1" customWidth="1"/>
    <col min="2" max="2" width="20" bestFit="1" customWidth="1"/>
    <col min="3" max="3" width="38.85546875" bestFit="1" customWidth="1"/>
    <col min="4" max="4" width="18" bestFit="1" customWidth="1"/>
    <col min="5" max="5" width="18.5703125" bestFit="1" customWidth="1"/>
    <col min="6" max="6" width="21.85546875" bestFit="1" customWidth="1"/>
    <col min="7" max="7" width="14.140625" bestFit="1" customWidth="1"/>
    <col min="8" max="8" width="18.7109375" bestFit="1" customWidth="1"/>
    <col min="9" max="9" width="39.5703125" bestFit="1" customWidth="1"/>
    <col min="10" max="10" width="10.7109375" bestFit="1" customWidth="1"/>
    <col min="11" max="11" width="12" bestFit="1" customWidth="1"/>
    <col min="12" max="12" width="27.5703125" bestFit="1" customWidth="1"/>
    <col min="13" max="13" width="11" bestFit="1" customWidth="1"/>
    <col min="14" max="14" width="11.7109375" bestFit="1" customWidth="1"/>
    <col min="15" max="15" width="10" bestFit="1" customWidth="1"/>
    <col min="16" max="16" width="14.5703125" bestFit="1" customWidth="1"/>
    <col min="17" max="17" width="41.140625" bestFit="1" customWidth="1"/>
    <col min="18" max="18" width="16.42578125" bestFit="1" customWidth="1"/>
    <col min="19" max="19" width="14.5703125" bestFit="1" customWidth="1"/>
    <col min="20" max="20" width="4.5703125" bestFit="1" customWidth="1"/>
    <col min="21" max="21" width="15.42578125" bestFit="1" customWidth="1"/>
    <col min="22" max="22" width="10.28515625" bestFit="1" customWidth="1"/>
    <col min="23" max="23" width="13.85546875" bestFit="1" customWidth="1"/>
    <col min="24" max="24" width="12.85546875" bestFit="1" customWidth="1"/>
    <col min="25" max="25" width="16" bestFit="1" customWidth="1"/>
    <col min="26" max="26" width="13.42578125" bestFit="1" customWidth="1"/>
  </cols>
  <sheetData>
    <row r="1" spans="1:25" x14ac:dyDescent="0.25">
      <c r="A1" t="str">
        <f>Sheet1!A1</f>
        <v>No</v>
      </c>
      <c r="B1" t="str">
        <f>Sheet1!B1</f>
        <v>Cabang Tujuan Order</v>
      </c>
      <c r="C1" t="str">
        <f>Sheet1!C1</f>
        <v>Customer</v>
      </c>
      <c r="D1" t="str">
        <f>Sheet1!D1</f>
        <v>order No Confins</v>
      </c>
      <c r="E1" t="str">
        <f>Sheet1!E1</f>
        <v>prospect No</v>
      </c>
      <c r="F1" t="str">
        <f>Sheet1!F1</f>
        <v>Source App</v>
      </c>
      <c r="G1" t="str">
        <f>Sheet1!G1</f>
        <v>agrmnt no</v>
      </c>
      <c r="H1" t="str">
        <f>Sheet1!H1</f>
        <v>application no</v>
      </c>
      <c r="I1" t="str">
        <f>Sheet1!I1</f>
        <v>cmo</v>
      </c>
      <c r="J1" t="str">
        <f>Sheet1!K1</f>
        <v>order input</v>
      </c>
      <c r="K1" t="str">
        <f>Sheet1!L1</f>
        <v>Status Date</v>
      </c>
      <c r="L1" t="str">
        <f>Sheet1!M1</f>
        <v>statusname</v>
      </c>
      <c r="M1" t="str">
        <f>Sheet1!P1</f>
        <v>Merk Asset</v>
      </c>
      <c r="N1" t="str">
        <f>Sheet1!Q1</f>
        <v>Tahun Asset</v>
      </c>
      <c r="O1" t="str">
        <f>Sheet1!AB1</f>
        <v>ntf amt</v>
      </c>
      <c r="P1" t="str">
        <f>Sheet1!AD1</f>
        <v>survey date</v>
      </c>
      <c r="Q1" t="str">
        <f>Sheet1!AI1</f>
        <v>Sales Agen ID</v>
      </c>
      <c r="R1" t="str">
        <f>Sheet1!AJ1</f>
        <v>Nama Sales Agen</v>
      </c>
      <c r="S1" t="str">
        <f>Sheet1!AK1</f>
        <v>Status Category</v>
      </c>
      <c r="T1" t="str">
        <f>Sheet1!AL1</f>
        <v>SOA</v>
      </c>
      <c r="U1" s="1" t="s">
        <v>2586</v>
      </c>
      <c r="V1" s="1" t="s">
        <v>2582</v>
      </c>
      <c r="W1" s="1" t="s">
        <v>2580</v>
      </c>
      <c r="X1" s="1" t="s">
        <v>2579</v>
      </c>
      <c r="Y1" s="1" t="s">
        <v>2578</v>
      </c>
    </row>
    <row r="2" spans="1:25" x14ac:dyDescent="0.25">
      <c r="A2">
        <f>Sheet1!A2</f>
        <v>1</v>
      </c>
      <c r="B2" t="str">
        <f>Sheet1!B2</f>
        <v>ALAM SUTERA</v>
      </c>
      <c r="C2" t="str">
        <f>Sheet1!C2</f>
        <v>SAKIRAN</v>
      </c>
      <c r="D2" t="str">
        <f>Sheet1!D2</f>
        <v>ODRNO2607010097</v>
      </c>
      <c r="E2" t="str">
        <f>Sheet1!E2</f>
        <v>838PRS20260702390</v>
      </c>
      <c r="F2" t="str">
        <f>Sheet1!F2</f>
        <v>Sales Agent (SA)</v>
      </c>
      <c r="G2" t="str">
        <f>Sheet1!G2</f>
        <v>8381032600023</v>
      </c>
      <c r="H2" t="str">
        <f>Sheet1!H2</f>
        <v>838APP20260700009</v>
      </c>
      <c r="I2" t="str">
        <f>Sheet1!I2</f>
        <v>IBRAHIM AZIZ</v>
      </c>
      <c r="J2" s="2">
        <f>Sheet1!K2</f>
        <v>46204.508285104203</v>
      </c>
      <c r="K2" s="2">
        <f>Sheet1!L2</f>
        <v>46207.535268518499</v>
      </c>
      <c r="L2" t="str">
        <f>Sheet1!M2</f>
        <v>Go Live</v>
      </c>
      <c r="M2" t="str">
        <f>Sheet1!P2</f>
        <v>TOYOTA</v>
      </c>
      <c r="N2" t="str">
        <f>Sheet1!Q2</f>
        <v>2022</v>
      </c>
      <c r="O2">
        <f>Sheet1!AB2</f>
        <v>216083000</v>
      </c>
      <c r="P2" s="2">
        <f>Sheet1!AD2</f>
        <v>46205</v>
      </c>
      <c r="Q2" t="str">
        <f>Sheet1!AI2</f>
        <v>DONNIE PRASTIYO-526010</v>
      </c>
      <c r="R2" t="str">
        <f>Sheet1!AJ2</f>
        <v/>
      </c>
      <c r="S2" t="str">
        <f>Sheet1!AK2</f>
        <v>Golive</v>
      </c>
      <c r="T2" t="str">
        <f>Sheet1!AL2</f>
        <v>SA</v>
      </c>
      <c r="U2" t="str">
        <f>IF(H2=0,0,"Done Survey")</f>
        <v>Done Survey</v>
      </c>
      <c r="V2" t="s">
        <v>2583</v>
      </c>
      <c r="W2" t="s">
        <v>2581</v>
      </c>
    </row>
    <row r="3" spans="1:25" x14ac:dyDescent="0.25">
      <c r="A3">
        <f>Sheet1!A3</f>
        <v>2</v>
      </c>
      <c r="B3" t="str">
        <f>Sheet1!B3</f>
        <v>ALAM SUTERA</v>
      </c>
      <c r="C3" t="str">
        <f>Sheet1!C3</f>
        <v>GATOT WARDONO</v>
      </c>
      <c r="D3" t="str">
        <f>Sheet1!D3</f>
        <v>ODRNO2607010131</v>
      </c>
      <c r="E3" t="str">
        <f>Sheet1!E3</f>
        <v>838PRS20260702392</v>
      </c>
      <c r="F3" t="str">
        <f>Sheet1!F3</f>
        <v>LandingPage</v>
      </c>
      <c r="G3">
        <f>Sheet1!G3</f>
        <v>0</v>
      </c>
      <c r="H3">
        <f>Sheet1!H3</f>
        <v>0</v>
      </c>
      <c r="I3" t="str">
        <f>Sheet1!I3</f>
        <v>IBRAHIM AZIZ</v>
      </c>
      <c r="J3" s="2">
        <f>Sheet1!K3</f>
        <v>46204.619866979199</v>
      </c>
      <c r="K3" s="2">
        <f>Sheet1!L3</f>
        <v>46212.3333494213</v>
      </c>
      <c r="L3" t="str">
        <f>Sheet1!M3</f>
        <v>Prospect Cancel</v>
      </c>
      <c r="M3" t="str">
        <f>Sheet1!P3</f>
        <v>SUZUKI</v>
      </c>
      <c r="N3" t="str">
        <f>Sheet1!Q3</f>
        <v>2011</v>
      </c>
      <c r="O3">
        <f>Sheet1!AB3</f>
        <v>0</v>
      </c>
      <c r="P3" s="2">
        <f>Sheet1!AD3</f>
        <v>0</v>
      </c>
      <c r="Q3">
        <f>Sheet1!AI3</f>
        <v>0</v>
      </c>
      <c r="R3">
        <f>Sheet1!AJ3</f>
        <v>0</v>
      </c>
      <c r="S3" t="str">
        <f>Sheet1!AK3</f>
        <v>Cancel</v>
      </c>
      <c r="T3" t="str">
        <f>Sheet1!AL3</f>
        <v>SA</v>
      </c>
      <c r="U3">
        <f t="shared" ref="U3:U66" si="0">IF(H3=0,0,"Done Survey")</f>
        <v>0</v>
      </c>
      <c r="V3" t="s">
        <v>2584</v>
      </c>
      <c r="W3" t="s">
        <v>2585</v>
      </c>
    </row>
    <row r="4" spans="1:25" x14ac:dyDescent="0.25">
      <c r="A4">
        <f>Sheet1!A4</f>
        <v>3</v>
      </c>
      <c r="B4" t="str">
        <f>Sheet1!B4</f>
        <v>BANDUNG</v>
      </c>
      <c r="C4" t="str">
        <f>Sheet1!C4</f>
        <v>ARIE ARLIAN DARLIANA</v>
      </c>
      <c r="D4" t="str">
        <f>Sheet1!D4</f>
        <v>ODRNO2607010064</v>
      </c>
      <c r="E4" t="str">
        <f>Sheet1!E4</f>
        <v>813PRS20260705019</v>
      </c>
      <c r="F4" t="str">
        <f>Sheet1!F4</f>
        <v>Sales Agent (SA)</v>
      </c>
      <c r="G4">
        <f>Sheet1!G4</f>
        <v>0</v>
      </c>
      <c r="H4">
        <f>Sheet1!H4</f>
        <v>0</v>
      </c>
      <c r="I4" t="str">
        <f>Sheet1!I4</f>
        <v>RAMDHAN FIRMANSYAH</v>
      </c>
      <c r="J4" s="2">
        <f>Sheet1!K4</f>
        <v>46204.455866319397</v>
      </c>
      <c r="K4" s="2">
        <f>Sheet1!L4</f>
        <v>46212.3333494213</v>
      </c>
      <c r="L4" t="str">
        <f>Sheet1!M4</f>
        <v>Prospect Cancel</v>
      </c>
      <c r="M4" t="str">
        <f>Sheet1!P4</f>
        <v>DAIHATSU</v>
      </c>
      <c r="N4" t="str">
        <f>Sheet1!Q4</f>
        <v>2016</v>
      </c>
      <c r="O4">
        <f>Sheet1!AB4</f>
        <v>0</v>
      </c>
      <c r="P4" s="2">
        <f>Sheet1!AD4</f>
        <v>0</v>
      </c>
      <c r="Q4" t="str">
        <f>Sheet1!AI4</f>
        <v>SONI SOMANTRI-126214</v>
      </c>
      <c r="R4" t="str">
        <f>Sheet1!AJ4</f>
        <v/>
      </c>
      <c r="S4" t="str">
        <f>Sheet1!AK4</f>
        <v>Cancel</v>
      </c>
      <c r="T4" t="str">
        <f>Sheet1!AL4</f>
        <v>SA</v>
      </c>
      <c r="U4">
        <f t="shared" si="0"/>
        <v>0</v>
      </c>
    </row>
    <row r="5" spans="1:25" x14ac:dyDescent="0.25">
      <c r="A5">
        <f>Sheet1!A5</f>
        <v>4</v>
      </c>
      <c r="B5" t="str">
        <f>Sheet1!B5</f>
        <v>BANDUNG</v>
      </c>
      <c r="C5" t="str">
        <f>Sheet1!C5</f>
        <v>SITI FATIMAH</v>
      </c>
      <c r="D5" t="str">
        <f>Sheet1!D5</f>
        <v>ODRNO2607010086</v>
      </c>
      <c r="E5" t="str">
        <f>Sheet1!E5</f>
        <v>813PRS20260705023</v>
      </c>
      <c r="F5" t="str">
        <f>Sheet1!F5</f>
        <v>Sales Agent (SA)</v>
      </c>
      <c r="G5">
        <f>Sheet1!G5</f>
        <v>0</v>
      </c>
      <c r="H5">
        <f>Sheet1!H5</f>
        <v>0</v>
      </c>
      <c r="I5" t="str">
        <f>Sheet1!I5</f>
        <v>RAMDHAN FIRMANSYAH</v>
      </c>
      <c r="J5" s="2">
        <f>Sheet1!K5</f>
        <v>46204.490996446802</v>
      </c>
      <c r="K5" s="2">
        <f>Sheet1!L5</f>
        <v>46212.3333494213</v>
      </c>
      <c r="L5" t="str">
        <f>Sheet1!M5</f>
        <v>Prospect Cancel</v>
      </c>
      <c r="M5" t="str">
        <f>Sheet1!P5</f>
        <v>TOYOTA</v>
      </c>
      <c r="N5" t="str">
        <f>Sheet1!Q5</f>
        <v>2016</v>
      </c>
      <c r="O5">
        <f>Sheet1!AB5</f>
        <v>0</v>
      </c>
      <c r="P5" s="2">
        <f>Sheet1!AD5</f>
        <v>0</v>
      </c>
      <c r="Q5" t="str">
        <f>Sheet1!AI5</f>
        <v>ARIF NUR ALIM HIDAYAT-126022</v>
      </c>
      <c r="R5" t="str">
        <f>Sheet1!AJ5</f>
        <v/>
      </c>
      <c r="S5" t="str">
        <f>Sheet1!AK5</f>
        <v>Cancel</v>
      </c>
      <c r="T5" t="str">
        <f>Sheet1!AL5</f>
        <v>SA</v>
      </c>
      <c r="U5">
        <f t="shared" si="0"/>
        <v>0</v>
      </c>
    </row>
    <row r="6" spans="1:25" x14ac:dyDescent="0.25">
      <c r="A6">
        <f>Sheet1!A6</f>
        <v>5</v>
      </c>
      <c r="B6" t="str">
        <f>Sheet1!B6</f>
        <v>BATAM</v>
      </c>
      <c r="C6" t="str">
        <f>Sheet1!C6</f>
        <v>Ade Irma Nurjannah</v>
      </c>
      <c r="D6" t="str">
        <f>Sheet1!D6</f>
        <v>ODRNO2607010021</v>
      </c>
      <c r="E6" t="str">
        <f>Sheet1!E6</f>
        <v>806PRS20260701974</v>
      </c>
      <c r="F6" t="str">
        <f>Sheet1!F6</f>
        <v>LandingPage</v>
      </c>
      <c r="G6">
        <f>Sheet1!G6</f>
        <v>0</v>
      </c>
      <c r="H6">
        <f>Sheet1!H6</f>
        <v>0</v>
      </c>
      <c r="I6" t="str">
        <f>Sheet1!I6</f>
        <v>AGUNG SETIAWAN FATTAH</v>
      </c>
      <c r="J6" s="2">
        <f>Sheet1!K6</f>
        <v>46204.368746990702</v>
      </c>
      <c r="K6" s="2">
        <f>Sheet1!L6</f>
        <v>46204.484939780101</v>
      </c>
      <c r="L6" t="str">
        <f>Sheet1!M6</f>
        <v>Prospect Cancel</v>
      </c>
      <c r="M6" t="str">
        <f>Sheet1!P6</f>
        <v>TOYOTA</v>
      </c>
      <c r="N6" t="str">
        <f>Sheet1!Q6</f>
        <v>2022</v>
      </c>
      <c r="O6">
        <f>Sheet1!AB6</f>
        <v>0</v>
      </c>
      <c r="P6" s="2">
        <f>Sheet1!AD6</f>
        <v>0</v>
      </c>
      <c r="Q6">
        <f>Sheet1!AI6</f>
        <v>0</v>
      </c>
      <c r="R6">
        <f>Sheet1!AJ6</f>
        <v>0</v>
      </c>
      <c r="S6" t="str">
        <f>Sheet1!AK6</f>
        <v>Cancel</v>
      </c>
      <c r="T6" t="str">
        <f>Sheet1!AL6</f>
        <v>SA</v>
      </c>
      <c r="U6">
        <f t="shared" si="0"/>
        <v>0</v>
      </c>
    </row>
    <row r="7" spans="1:25" x14ac:dyDescent="0.25">
      <c r="A7">
        <f>Sheet1!A7</f>
        <v>6</v>
      </c>
      <c r="B7" t="str">
        <f>Sheet1!B7</f>
        <v>BEKASI</v>
      </c>
      <c r="C7" t="str">
        <f>Sheet1!C7</f>
        <v>SRIYONO</v>
      </c>
      <c r="D7" t="str">
        <f>Sheet1!D7</f>
        <v>ODRNO2607010094</v>
      </c>
      <c r="E7" t="str">
        <f>Sheet1!E7</f>
        <v>811PRS20260704433</v>
      </c>
      <c r="F7" t="str">
        <f>Sheet1!F7</f>
        <v>Sales Agent (SA)</v>
      </c>
      <c r="G7" t="str">
        <f>Sheet1!G7</f>
        <v>8111022600026</v>
      </c>
      <c r="H7" t="str">
        <f>Sheet1!H7</f>
        <v>811APP20260700035</v>
      </c>
      <c r="I7" t="str">
        <f>Sheet1!I7</f>
        <v>KURNIAWAN ARIBOWO</v>
      </c>
      <c r="J7" s="2">
        <f>Sheet1!K7</f>
        <v>46204.500776469897</v>
      </c>
      <c r="K7" s="2">
        <f>Sheet1!L7</f>
        <v>46213.390374768504</v>
      </c>
      <c r="L7" t="str">
        <f>Sheet1!M7</f>
        <v>Go Live</v>
      </c>
      <c r="M7" t="str">
        <f>Sheet1!P7</f>
        <v>DAIHATSU</v>
      </c>
      <c r="N7" t="str">
        <f>Sheet1!Q7</f>
        <v>2018</v>
      </c>
      <c r="O7">
        <f>Sheet1!AB7</f>
        <v>108220074</v>
      </c>
      <c r="P7" s="2">
        <f>Sheet1!AD7</f>
        <v>46212</v>
      </c>
      <c r="Q7" t="str">
        <f>Sheet1!AI7</f>
        <v>BAGJA SANJAYA-126014</v>
      </c>
      <c r="R7" t="str">
        <f>Sheet1!AJ7</f>
        <v/>
      </c>
      <c r="S7" t="str">
        <f>Sheet1!AK7</f>
        <v>Golive</v>
      </c>
      <c r="T7" t="str">
        <f>Sheet1!AL7</f>
        <v>SA</v>
      </c>
      <c r="U7" t="str">
        <f t="shared" si="0"/>
        <v>Done Survey</v>
      </c>
    </row>
    <row r="8" spans="1:25" x14ac:dyDescent="0.25">
      <c r="A8">
        <f>Sheet1!A8</f>
        <v>7</v>
      </c>
      <c r="B8" t="str">
        <f>Sheet1!B8</f>
        <v>BEKASI</v>
      </c>
      <c r="C8" t="str">
        <f>Sheet1!C8</f>
        <v>SAFARUDIN</v>
      </c>
      <c r="D8" t="str">
        <f>Sheet1!D8</f>
        <v>ODRNO2607010110</v>
      </c>
      <c r="E8" t="str">
        <f>Sheet1!E8</f>
        <v>811PRS20260704439</v>
      </c>
      <c r="F8" t="str">
        <f>Sheet1!F8</f>
        <v>LandingPage</v>
      </c>
      <c r="G8">
        <f>Sheet1!G8</f>
        <v>0</v>
      </c>
      <c r="H8">
        <f>Sheet1!H8</f>
        <v>0</v>
      </c>
      <c r="I8" t="str">
        <f>Sheet1!I8</f>
        <v>KURNIAWAN ARIBOWO</v>
      </c>
      <c r="J8" s="2">
        <f>Sheet1!K8</f>
        <v>46204.529563657401</v>
      </c>
      <c r="K8" s="2">
        <f>Sheet1!L8</f>
        <v>46212.3333494213</v>
      </c>
      <c r="L8" t="str">
        <f>Sheet1!M8</f>
        <v>Prospect Cancel</v>
      </c>
      <c r="M8" t="str">
        <f>Sheet1!P8</f>
        <v>DAIHATSU</v>
      </c>
      <c r="N8" t="str">
        <f>Sheet1!Q8</f>
        <v>2022</v>
      </c>
      <c r="O8">
        <f>Sheet1!AB8</f>
        <v>0</v>
      </c>
      <c r="P8" s="2">
        <f>Sheet1!AD8</f>
        <v>0</v>
      </c>
      <c r="Q8">
        <f>Sheet1!AI8</f>
        <v>0</v>
      </c>
      <c r="R8">
        <f>Sheet1!AJ8</f>
        <v>0</v>
      </c>
      <c r="S8" t="str">
        <f>Sheet1!AK8</f>
        <v>Cancel</v>
      </c>
      <c r="T8" t="str">
        <f>Sheet1!AL8</f>
        <v>SA</v>
      </c>
      <c r="U8">
        <f t="shared" si="0"/>
        <v>0</v>
      </c>
    </row>
    <row r="9" spans="1:25" x14ac:dyDescent="0.25">
      <c r="A9">
        <f>Sheet1!A9</f>
        <v>8</v>
      </c>
      <c r="B9" t="str">
        <f>Sheet1!B9</f>
        <v>BEKASI</v>
      </c>
      <c r="C9" t="str">
        <f>Sheet1!C9</f>
        <v>VERDY THAIB</v>
      </c>
      <c r="D9" t="str">
        <f>Sheet1!D9</f>
        <v>ODRNO2607010173</v>
      </c>
      <c r="E9" t="str">
        <f>Sheet1!E9</f>
        <v>811PRS20260704455</v>
      </c>
      <c r="F9" t="str">
        <f>Sheet1!F9</f>
        <v>Sales Agent (SA)</v>
      </c>
      <c r="G9">
        <f>Sheet1!G9</f>
        <v>0</v>
      </c>
      <c r="H9">
        <f>Sheet1!H9</f>
        <v>0</v>
      </c>
      <c r="I9" t="str">
        <f>Sheet1!I9</f>
        <v>KURNIAWAN ARIBOWO</v>
      </c>
      <c r="J9" s="2">
        <f>Sheet1!K9</f>
        <v>46204.744512037003</v>
      </c>
      <c r="K9" s="2">
        <f>Sheet1!L9</f>
        <v>46212.3333494213</v>
      </c>
      <c r="L9" t="str">
        <f>Sheet1!M9</f>
        <v>Prospect Cancel</v>
      </c>
      <c r="M9" t="str">
        <f>Sheet1!P9</f>
        <v>TOYOTA</v>
      </c>
      <c r="N9" t="str">
        <f>Sheet1!Q9</f>
        <v>2014</v>
      </c>
      <c r="O9">
        <f>Sheet1!AB9</f>
        <v>0</v>
      </c>
      <c r="P9" s="2">
        <f>Sheet1!AD9</f>
        <v>0</v>
      </c>
      <c r="Q9" t="str">
        <f>Sheet1!AI9</f>
        <v>JEFFRI STAVANUS M-326087</v>
      </c>
      <c r="R9" t="str">
        <f>Sheet1!AJ9</f>
        <v/>
      </c>
      <c r="S9" t="str">
        <f>Sheet1!AK9</f>
        <v>Cancel</v>
      </c>
      <c r="T9" t="str">
        <f>Sheet1!AL9</f>
        <v>SA</v>
      </c>
      <c r="U9">
        <f t="shared" si="0"/>
        <v>0</v>
      </c>
    </row>
    <row r="10" spans="1:25" x14ac:dyDescent="0.25">
      <c r="A10">
        <f>Sheet1!A10</f>
        <v>9</v>
      </c>
      <c r="B10" t="str">
        <f>Sheet1!B10</f>
        <v>KEMAYORAN</v>
      </c>
      <c r="C10" t="str">
        <f>Sheet1!C10</f>
        <v>Laurent Putra</v>
      </c>
      <c r="D10" t="str">
        <f>Sheet1!D10</f>
        <v>ODRNO2607010078</v>
      </c>
      <c r="E10" t="str">
        <f>Sheet1!E10</f>
        <v>801PRS20260700845</v>
      </c>
      <c r="F10" t="str">
        <f>Sheet1!F10</f>
        <v>Sales Agent (SA)</v>
      </c>
      <c r="G10">
        <f>Sheet1!G10</f>
        <v>0</v>
      </c>
      <c r="H10">
        <f>Sheet1!H10</f>
        <v>0</v>
      </c>
      <c r="I10" t="str">
        <f>Sheet1!I10</f>
        <v>MUHAMMAD RIZQY KEMAL</v>
      </c>
      <c r="J10" s="2">
        <f>Sheet1!K10</f>
        <v>46204.483621608801</v>
      </c>
      <c r="K10" s="2">
        <f>Sheet1!L10</f>
        <v>46204.496653009301</v>
      </c>
      <c r="L10" t="str">
        <f>Sheet1!M10</f>
        <v>Prospect Cancel</v>
      </c>
      <c r="M10" t="str">
        <f>Sheet1!P10</f>
        <v>TOYOTA</v>
      </c>
      <c r="N10" t="str">
        <f>Sheet1!Q10</f>
        <v>2022</v>
      </c>
      <c r="O10">
        <f>Sheet1!AB10</f>
        <v>0</v>
      </c>
      <c r="P10" s="2">
        <f>Sheet1!AD10</f>
        <v>0</v>
      </c>
      <c r="Q10" t="str">
        <f>Sheet1!AI10</f>
        <v>BANDUNG PRASETYO-0626069</v>
      </c>
      <c r="R10" t="str">
        <f>Sheet1!AJ10</f>
        <v/>
      </c>
      <c r="S10" t="str">
        <f>Sheet1!AK10</f>
        <v>Cancel</v>
      </c>
      <c r="T10" t="str">
        <f>Sheet1!AL10</f>
        <v>SA</v>
      </c>
      <c r="U10">
        <f t="shared" si="0"/>
        <v>0</v>
      </c>
    </row>
    <row r="11" spans="1:25" x14ac:dyDescent="0.25">
      <c r="A11">
        <f>Sheet1!A11</f>
        <v>10</v>
      </c>
      <c r="B11" t="str">
        <f>Sheet1!B11</f>
        <v>KEMAYORAN</v>
      </c>
      <c r="C11" t="str">
        <f>Sheet1!C11</f>
        <v>Supriantono Syahputra Wijaya</v>
      </c>
      <c r="D11" t="str">
        <f>Sheet1!D11</f>
        <v>ODRNO2607010136</v>
      </c>
      <c r="E11" t="str">
        <f>Sheet1!E11</f>
        <v>801PRS20260700850</v>
      </c>
      <c r="F11" t="str">
        <f>Sheet1!F11</f>
        <v>Sales Agent (SA)</v>
      </c>
      <c r="G11">
        <f>Sheet1!G11</f>
        <v>0</v>
      </c>
      <c r="H11">
        <f>Sheet1!H11</f>
        <v>0</v>
      </c>
      <c r="I11" t="str">
        <f>Sheet1!I11</f>
        <v>MUHAMMAD RIZQY KEMAL</v>
      </c>
      <c r="J11" s="2">
        <f>Sheet1!K11</f>
        <v>46204.637751851798</v>
      </c>
      <c r="K11" s="2">
        <f>Sheet1!L11</f>
        <v>46212.3333494213</v>
      </c>
      <c r="L11" t="str">
        <f>Sheet1!M11</f>
        <v>Prospect Cancel</v>
      </c>
      <c r="M11" t="str">
        <f>Sheet1!P11</f>
        <v>DAIHATSU</v>
      </c>
      <c r="N11" t="str">
        <f>Sheet1!Q11</f>
        <v>2011</v>
      </c>
      <c r="O11">
        <f>Sheet1!AB11</f>
        <v>0</v>
      </c>
      <c r="P11" s="2">
        <f>Sheet1!AD11</f>
        <v>0</v>
      </c>
      <c r="Q11" t="str">
        <f>Sheet1!AI11</f>
        <v>ANTON RIA YANANTO-226215</v>
      </c>
      <c r="R11" t="str">
        <f>Sheet1!AJ11</f>
        <v/>
      </c>
      <c r="S11" t="str">
        <f>Sheet1!AK11</f>
        <v>Cancel</v>
      </c>
      <c r="T11" t="str">
        <f>Sheet1!AL11</f>
        <v>SA</v>
      </c>
      <c r="U11">
        <f t="shared" si="0"/>
        <v>0</v>
      </c>
    </row>
    <row r="12" spans="1:25" x14ac:dyDescent="0.25">
      <c r="A12">
        <f>Sheet1!A12</f>
        <v>11</v>
      </c>
      <c r="B12" t="str">
        <f>Sheet1!B12</f>
        <v>MANADO</v>
      </c>
      <c r="C12" t="str">
        <f>Sheet1!C12</f>
        <v>ANTONIUS WILLEM RAWUNG</v>
      </c>
      <c r="D12" t="str">
        <f>Sheet1!D12</f>
        <v>ODRNO2607010013</v>
      </c>
      <c r="E12" t="str">
        <f>Sheet1!E12</f>
        <v>828PRS20260700327</v>
      </c>
      <c r="F12" t="str">
        <f>Sheet1!F12</f>
        <v>Sales Agent (SA)</v>
      </c>
      <c r="G12">
        <f>Sheet1!G12</f>
        <v>0</v>
      </c>
      <c r="H12">
        <f>Sheet1!H12</f>
        <v>0</v>
      </c>
      <c r="I12" t="str">
        <f>Sheet1!I12</f>
        <v>BATIN E TUWUILU</v>
      </c>
      <c r="J12" s="2">
        <f>Sheet1!K12</f>
        <v>46204.3533370718</v>
      </c>
      <c r="K12" s="2">
        <f>Sheet1!L12</f>
        <v>46212.3333494213</v>
      </c>
      <c r="L12" t="str">
        <f>Sheet1!M12</f>
        <v>Prospect Cancel</v>
      </c>
      <c r="M12" t="str">
        <f>Sheet1!P12</f>
        <v>NISSAN</v>
      </c>
      <c r="N12" t="str">
        <f>Sheet1!Q12</f>
        <v>2021</v>
      </c>
      <c r="O12">
        <f>Sheet1!AB12</f>
        <v>0</v>
      </c>
      <c r="P12" s="2">
        <f>Sheet1!AD12</f>
        <v>0</v>
      </c>
      <c r="Q12" t="str">
        <f>Sheet1!AI12</f>
        <v>PINGKAN IRENE HERMANUS-226129</v>
      </c>
      <c r="R12" t="str">
        <f>Sheet1!AJ12</f>
        <v/>
      </c>
      <c r="S12" t="str">
        <f>Sheet1!AK12</f>
        <v>Cancel</v>
      </c>
      <c r="T12" t="str">
        <f>Sheet1!AL12</f>
        <v>SA</v>
      </c>
      <c r="U12">
        <f t="shared" si="0"/>
        <v>0</v>
      </c>
    </row>
    <row r="13" spans="1:25" x14ac:dyDescent="0.25">
      <c r="A13">
        <f>Sheet1!A13</f>
        <v>12</v>
      </c>
      <c r="B13" t="str">
        <f>Sheet1!B13</f>
        <v>MANADO</v>
      </c>
      <c r="C13" t="str">
        <f>Sheet1!C13</f>
        <v>OLDI OLIVER ROMPIS</v>
      </c>
      <c r="D13" t="str">
        <f>Sheet1!D13</f>
        <v>ODRNO2607010014</v>
      </c>
      <c r="E13" t="str">
        <f>Sheet1!E13</f>
        <v>828PRS20260700328</v>
      </c>
      <c r="F13" t="str">
        <f>Sheet1!F13</f>
        <v>Sales Agent (SA)</v>
      </c>
      <c r="G13">
        <f>Sheet1!G13</f>
        <v>0</v>
      </c>
      <c r="H13">
        <f>Sheet1!H13</f>
        <v>0</v>
      </c>
      <c r="I13" t="str">
        <f>Sheet1!I13</f>
        <v>BATIN E TUWUILU</v>
      </c>
      <c r="J13" s="2">
        <f>Sheet1!K13</f>
        <v>46204.356914699099</v>
      </c>
      <c r="K13" s="2">
        <f>Sheet1!L13</f>
        <v>46204.362691516202</v>
      </c>
      <c r="L13" t="str">
        <f>Sheet1!M13</f>
        <v>Prospect Cancel</v>
      </c>
      <c r="M13" t="str">
        <f>Sheet1!P13</f>
        <v>TOYOTA</v>
      </c>
      <c r="N13" t="str">
        <f>Sheet1!Q13</f>
        <v>2015</v>
      </c>
      <c r="O13">
        <f>Sheet1!AB13</f>
        <v>0</v>
      </c>
      <c r="P13" s="2">
        <f>Sheet1!AD13</f>
        <v>0</v>
      </c>
      <c r="Q13" t="str">
        <f>Sheet1!AI13</f>
        <v>PINGKAN IRENE HERMANUS-226129</v>
      </c>
      <c r="R13" t="str">
        <f>Sheet1!AJ13</f>
        <v/>
      </c>
      <c r="S13" t="str">
        <f>Sheet1!AK13</f>
        <v>Cancel</v>
      </c>
      <c r="T13" t="str">
        <f>Sheet1!AL13</f>
        <v>SA</v>
      </c>
      <c r="U13">
        <f t="shared" si="0"/>
        <v>0</v>
      </c>
    </row>
    <row r="14" spans="1:25" x14ac:dyDescent="0.25">
      <c r="A14">
        <f>Sheet1!A14</f>
        <v>13</v>
      </c>
      <c r="B14" t="str">
        <f>Sheet1!B14</f>
        <v>MANADO</v>
      </c>
      <c r="C14" t="str">
        <f>Sheet1!C14</f>
        <v>JENDRY INDRO GEORGE KOJONGIAN</v>
      </c>
      <c r="D14" t="str">
        <f>Sheet1!D14</f>
        <v>ODRNO2607010017</v>
      </c>
      <c r="E14" t="str">
        <f>Sheet1!E14</f>
        <v>828PRS20260700329</v>
      </c>
      <c r="F14" t="str">
        <f>Sheet1!F14</f>
        <v>Sales Agent (SA)</v>
      </c>
      <c r="G14">
        <f>Sheet1!G14</f>
        <v>0</v>
      </c>
      <c r="H14">
        <f>Sheet1!H14</f>
        <v>0</v>
      </c>
      <c r="I14" t="str">
        <f>Sheet1!I14</f>
        <v>BATIN E TUWUILU</v>
      </c>
      <c r="J14" s="2">
        <f>Sheet1!K14</f>
        <v>46204.360524919</v>
      </c>
      <c r="K14" s="2">
        <f>Sheet1!L14</f>
        <v>46212.3333494213</v>
      </c>
      <c r="L14" t="str">
        <f>Sheet1!M14</f>
        <v>Prospect Cancel</v>
      </c>
      <c r="M14" t="str">
        <f>Sheet1!P14</f>
        <v>MITSUBISHI</v>
      </c>
      <c r="N14" t="str">
        <f>Sheet1!Q14</f>
        <v>2019</v>
      </c>
      <c r="O14">
        <f>Sheet1!AB14</f>
        <v>0</v>
      </c>
      <c r="P14" s="2">
        <f>Sheet1!AD14</f>
        <v>0</v>
      </c>
      <c r="Q14" t="str">
        <f>Sheet1!AI14</f>
        <v>PINGKAN IRENE HERMANUS-226129</v>
      </c>
      <c r="R14" t="str">
        <f>Sheet1!AJ14</f>
        <v/>
      </c>
      <c r="S14" t="str">
        <f>Sheet1!AK14</f>
        <v>Cancel</v>
      </c>
      <c r="T14" t="str">
        <f>Sheet1!AL14</f>
        <v>SA</v>
      </c>
      <c r="U14">
        <f t="shared" si="0"/>
        <v>0</v>
      </c>
    </row>
    <row r="15" spans="1:25" x14ac:dyDescent="0.25">
      <c r="A15">
        <f>Sheet1!A15</f>
        <v>14</v>
      </c>
      <c r="B15" t="str">
        <f>Sheet1!B15</f>
        <v>BANDUNG</v>
      </c>
      <c r="C15" t="str">
        <f>Sheet1!C15</f>
        <v>SANDI TRIYANA</v>
      </c>
      <c r="D15" t="str">
        <f>Sheet1!D15</f>
        <v>ODRNO2607020011</v>
      </c>
      <c r="E15" t="str">
        <f>Sheet1!E15</f>
        <v>813PRS20260705030</v>
      </c>
      <c r="F15" t="str">
        <f>Sheet1!F15</f>
        <v>Sales Agent (SA)</v>
      </c>
      <c r="G15">
        <f>Sheet1!G15</f>
        <v>0</v>
      </c>
      <c r="H15">
        <f>Sheet1!H15</f>
        <v>0</v>
      </c>
      <c r="I15" t="str">
        <f>Sheet1!I15</f>
        <v>RAMDHAN FIRMANSYAH</v>
      </c>
      <c r="J15" s="2">
        <f>Sheet1!K15</f>
        <v>46205.340666354197</v>
      </c>
      <c r="K15" s="2">
        <f>Sheet1!L15</f>
        <v>46213.3333460301</v>
      </c>
      <c r="L15" t="str">
        <f>Sheet1!M15</f>
        <v>Prospect Cancel</v>
      </c>
      <c r="M15" t="str">
        <f>Sheet1!P15</f>
        <v>TOYOTA</v>
      </c>
      <c r="N15" t="str">
        <f>Sheet1!Q15</f>
        <v>2016</v>
      </c>
      <c r="O15">
        <f>Sheet1!AB15</f>
        <v>0</v>
      </c>
      <c r="P15" s="2">
        <f>Sheet1!AD15</f>
        <v>0</v>
      </c>
      <c r="Q15" t="str">
        <f>Sheet1!AI15</f>
        <v>ARIS YULIANSYAH HILMAN-126175</v>
      </c>
      <c r="R15" t="str">
        <f>Sheet1!AJ15</f>
        <v/>
      </c>
      <c r="S15" t="str">
        <f>Sheet1!AK15</f>
        <v>Cancel</v>
      </c>
      <c r="T15" t="str">
        <f>Sheet1!AL15</f>
        <v>SA</v>
      </c>
      <c r="U15">
        <f t="shared" si="0"/>
        <v>0</v>
      </c>
    </row>
    <row r="16" spans="1:25" x14ac:dyDescent="0.25">
      <c r="A16">
        <f>Sheet1!A16</f>
        <v>15</v>
      </c>
      <c r="B16" t="str">
        <f>Sheet1!B16</f>
        <v>BANDUNG</v>
      </c>
      <c r="C16" t="str">
        <f>Sheet1!C16</f>
        <v>RULY YULIANA</v>
      </c>
      <c r="D16" t="str">
        <f>Sheet1!D16</f>
        <v>ODRNO2607020031</v>
      </c>
      <c r="E16" t="str">
        <f>Sheet1!E16</f>
        <v>813PRS20260705037</v>
      </c>
      <c r="F16" t="str">
        <f>Sheet1!F16</f>
        <v>Sales Agent (SA)</v>
      </c>
      <c r="G16" t="str">
        <f>Sheet1!G16</f>
        <v>8131032600014</v>
      </c>
      <c r="H16" t="str">
        <f>Sheet1!H16</f>
        <v>813APP20260700009</v>
      </c>
      <c r="I16" t="str">
        <f>Sheet1!I16</f>
        <v>RAMDHAN FIRMANSYAH</v>
      </c>
      <c r="J16" s="2">
        <f>Sheet1!K16</f>
        <v>46205.365367326398</v>
      </c>
      <c r="K16" s="2">
        <f>Sheet1!L16</f>
        <v>46206.445523993098</v>
      </c>
      <c r="L16" t="str">
        <f>Sheet1!M16</f>
        <v>Go Live</v>
      </c>
      <c r="M16" t="str">
        <f>Sheet1!P16</f>
        <v>HONDA</v>
      </c>
      <c r="N16" t="str">
        <f>Sheet1!Q16</f>
        <v>2013</v>
      </c>
      <c r="O16">
        <f>Sheet1!AB16</f>
        <v>93600000</v>
      </c>
      <c r="P16" s="2">
        <f>Sheet1!AD16</f>
        <v>46206</v>
      </c>
      <c r="Q16" t="str">
        <f>Sheet1!AI16</f>
        <v>DWI HARTO-226039</v>
      </c>
      <c r="R16" t="str">
        <f>Sheet1!AJ16</f>
        <v/>
      </c>
      <c r="S16" t="str">
        <f>Sheet1!AK16</f>
        <v>Golive</v>
      </c>
      <c r="T16" t="str">
        <f>Sheet1!AL16</f>
        <v>SA</v>
      </c>
      <c r="U16" t="str">
        <f t="shared" si="0"/>
        <v>Done Survey</v>
      </c>
    </row>
    <row r="17" spans="1:21" x14ac:dyDescent="0.25">
      <c r="A17">
        <f>Sheet1!A17</f>
        <v>16</v>
      </c>
      <c r="B17" t="str">
        <f>Sheet1!B17</f>
        <v>BANDUNG</v>
      </c>
      <c r="C17" t="str">
        <f>Sheet1!C17</f>
        <v>M IQBAL SUTISNA</v>
      </c>
      <c r="D17" t="str">
        <f>Sheet1!D17</f>
        <v>ODRNO2607020044</v>
      </c>
      <c r="E17" t="str">
        <f>Sheet1!E17</f>
        <v>813PRS20260705039</v>
      </c>
      <c r="F17" t="str">
        <f>Sheet1!F17</f>
        <v>Sales Agent (SA)</v>
      </c>
      <c r="G17" t="str">
        <f>Sheet1!G17</f>
        <v>8131022600013</v>
      </c>
      <c r="H17" t="str">
        <f>Sheet1!H17</f>
        <v>813APP20260700012</v>
      </c>
      <c r="I17" t="str">
        <f>Sheet1!I17</f>
        <v>RAMDHAN FIRMANSYAH</v>
      </c>
      <c r="J17" s="2">
        <f>Sheet1!K17</f>
        <v>46205.388102777797</v>
      </c>
      <c r="K17" s="2">
        <f>Sheet1!L17</f>
        <v>46206.765417511597</v>
      </c>
      <c r="L17" t="str">
        <f>Sheet1!M17</f>
        <v>Go Live</v>
      </c>
      <c r="M17" t="str">
        <f>Sheet1!P17</f>
        <v>SUZUKI</v>
      </c>
      <c r="N17" t="str">
        <f>Sheet1!Q17</f>
        <v>2017</v>
      </c>
      <c r="O17">
        <f>Sheet1!AB17</f>
        <v>62050000</v>
      </c>
      <c r="P17" s="2">
        <f>Sheet1!AD17</f>
        <v>46206</v>
      </c>
      <c r="Q17" t="str">
        <f>Sheet1!AI17</f>
        <v>MIGIE NASEPUL QURBANI-126025</v>
      </c>
      <c r="R17" t="str">
        <f>Sheet1!AJ17</f>
        <v/>
      </c>
      <c r="S17" t="str">
        <f>Sheet1!AK17</f>
        <v>Golive</v>
      </c>
      <c r="T17" t="str">
        <f>Sheet1!AL17</f>
        <v>SA</v>
      </c>
      <c r="U17" t="str">
        <f t="shared" si="0"/>
        <v>Done Survey</v>
      </c>
    </row>
    <row r="18" spans="1:21" x14ac:dyDescent="0.25">
      <c r="A18">
        <f>Sheet1!A18</f>
        <v>17</v>
      </c>
      <c r="B18" t="str">
        <f>Sheet1!B18</f>
        <v>BANDUNG</v>
      </c>
      <c r="C18" t="str">
        <f>Sheet1!C18</f>
        <v>Elis Solihah</v>
      </c>
      <c r="D18" t="str">
        <f>Sheet1!D18</f>
        <v>ODRNO2607020095</v>
      </c>
      <c r="E18" t="str">
        <f>Sheet1!E18</f>
        <v>813PRS20260705044</v>
      </c>
      <c r="F18" t="str">
        <f>Sheet1!F18</f>
        <v>Sales Agent (SA)</v>
      </c>
      <c r="G18">
        <f>Sheet1!G18</f>
        <v>0</v>
      </c>
      <c r="H18">
        <f>Sheet1!H18</f>
        <v>0</v>
      </c>
      <c r="I18" t="str">
        <f>Sheet1!I18</f>
        <v>RISKI DALNI</v>
      </c>
      <c r="J18" s="2">
        <f>Sheet1!K18</f>
        <v>46205.465427233801</v>
      </c>
      <c r="K18" s="2">
        <f>Sheet1!L18</f>
        <v>46213.3333460301</v>
      </c>
      <c r="L18" t="str">
        <f>Sheet1!M18</f>
        <v>Prospect Cancel</v>
      </c>
      <c r="M18" t="str">
        <f>Sheet1!P18</f>
        <v>TOYOTA</v>
      </c>
      <c r="N18" t="str">
        <f>Sheet1!Q18</f>
        <v>2017</v>
      </c>
      <c r="O18">
        <f>Sheet1!AB18</f>
        <v>0</v>
      </c>
      <c r="P18" s="2">
        <f>Sheet1!AD18</f>
        <v>0</v>
      </c>
      <c r="Q18" t="str">
        <f>Sheet1!AI18</f>
        <v>ANTON SURYA DININGRAT-126084</v>
      </c>
      <c r="R18" t="str">
        <f>Sheet1!AJ18</f>
        <v/>
      </c>
      <c r="S18" t="str">
        <f>Sheet1!AK18</f>
        <v>Cancel</v>
      </c>
      <c r="T18" t="str">
        <f>Sheet1!AL18</f>
        <v>SA</v>
      </c>
      <c r="U18">
        <f t="shared" si="0"/>
        <v>0</v>
      </c>
    </row>
    <row r="19" spans="1:21" x14ac:dyDescent="0.25">
      <c r="A19">
        <f>Sheet1!A19</f>
        <v>18</v>
      </c>
      <c r="B19" t="str">
        <f>Sheet1!B19</f>
        <v>BANJARMASIN</v>
      </c>
      <c r="C19" t="str">
        <f>Sheet1!C19</f>
        <v>gairil</v>
      </c>
      <c r="D19" t="str">
        <f>Sheet1!D19</f>
        <v>ODRNO2607020051</v>
      </c>
      <c r="E19" t="str">
        <f>Sheet1!E19</f>
        <v>825PRS20260700444</v>
      </c>
      <c r="F19" t="str">
        <f>Sheet1!F19</f>
        <v>LandingPage</v>
      </c>
      <c r="G19">
        <f>Sheet1!G19</f>
        <v>0</v>
      </c>
      <c r="H19">
        <f>Sheet1!H19</f>
        <v>0</v>
      </c>
      <c r="I19" t="str">
        <f>Sheet1!I19</f>
        <v>Yandi Irawan</v>
      </c>
      <c r="J19" s="2">
        <f>Sheet1!K19</f>
        <v>46205.399285682899</v>
      </c>
      <c r="K19" s="2">
        <f>Sheet1!L19</f>
        <v>46213.3333460301</v>
      </c>
      <c r="L19" t="str">
        <f>Sheet1!M19</f>
        <v>Prospect Cancel</v>
      </c>
      <c r="M19" t="str">
        <f>Sheet1!P19</f>
        <v>TOYOTA</v>
      </c>
      <c r="N19" t="str">
        <f>Sheet1!Q19</f>
        <v>2018</v>
      </c>
      <c r="O19">
        <f>Sheet1!AB19</f>
        <v>0</v>
      </c>
      <c r="P19" s="2">
        <f>Sheet1!AD19</f>
        <v>0</v>
      </c>
      <c r="Q19">
        <f>Sheet1!AI19</f>
        <v>0</v>
      </c>
      <c r="R19">
        <f>Sheet1!AJ19</f>
        <v>0</v>
      </c>
      <c r="S19" t="str">
        <f>Sheet1!AK19</f>
        <v>Cancel</v>
      </c>
      <c r="T19" t="str">
        <f>Sheet1!AL19</f>
        <v>SA</v>
      </c>
      <c r="U19">
        <f t="shared" si="0"/>
        <v>0</v>
      </c>
    </row>
    <row r="20" spans="1:21" x14ac:dyDescent="0.25">
      <c r="A20">
        <f>Sheet1!A20</f>
        <v>19</v>
      </c>
      <c r="B20" t="str">
        <f>Sheet1!B20</f>
        <v>BEKASI</v>
      </c>
      <c r="C20" t="str">
        <f>Sheet1!C20</f>
        <v>SURYANA</v>
      </c>
      <c r="D20" t="str">
        <f>Sheet1!D20</f>
        <v>ODRNO2607020138</v>
      </c>
      <c r="E20" t="str">
        <f>Sheet1!E20</f>
        <v>811PRS20260704469</v>
      </c>
      <c r="F20" t="str">
        <f>Sheet1!F20</f>
        <v>Sales Agent (SA)</v>
      </c>
      <c r="G20">
        <f>Sheet1!G20</f>
        <v>0</v>
      </c>
      <c r="H20">
        <f>Sheet1!H20</f>
        <v>0</v>
      </c>
      <c r="I20" t="str">
        <f>Sheet1!I20</f>
        <v>KURNIAWAN ARIBOWO</v>
      </c>
      <c r="J20" s="2">
        <f>Sheet1!K20</f>
        <v>46205.5558690162</v>
      </c>
      <c r="K20" s="2">
        <f>Sheet1!L20</f>
        <v>46213.3333460301</v>
      </c>
      <c r="L20" t="str">
        <f>Sheet1!M20</f>
        <v>Prospect Cancel</v>
      </c>
      <c r="M20" t="str">
        <f>Sheet1!P20</f>
        <v>TOYOTA</v>
      </c>
      <c r="N20" t="str">
        <f>Sheet1!Q20</f>
        <v>2018</v>
      </c>
      <c r="O20">
        <f>Sheet1!AB20</f>
        <v>0</v>
      </c>
      <c r="P20" s="2">
        <f>Sheet1!AD20</f>
        <v>0</v>
      </c>
      <c r="Q20" t="str">
        <f>Sheet1!AI20</f>
        <v>AHMAD CHAIRUL-126059</v>
      </c>
      <c r="R20" t="str">
        <f>Sheet1!AJ20</f>
        <v/>
      </c>
      <c r="S20" t="str">
        <f>Sheet1!AK20</f>
        <v>Cancel</v>
      </c>
      <c r="T20" t="str">
        <f>Sheet1!AL20</f>
        <v>SA</v>
      </c>
      <c r="U20">
        <f t="shared" si="0"/>
        <v>0</v>
      </c>
    </row>
    <row r="21" spans="1:21" x14ac:dyDescent="0.25">
      <c r="A21">
        <f>Sheet1!A21</f>
        <v>20</v>
      </c>
      <c r="B21" t="str">
        <f>Sheet1!B21</f>
        <v>BEKASI</v>
      </c>
      <c r="C21" t="str">
        <f>Sheet1!C21</f>
        <v>MUHAMMAD SAIFUL BAHRI</v>
      </c>
      <c r="D21" t="str">
        <f>Sheet1!D21</f>
        <v>ODRNO2607020190</v>
      </c>
      <c r="E21" t="str">
        <f>Sheet1!E21</f>
        <v>811PRS20260704473</v>
      </c>
      <c r="F21" t="str">
        <f>Sheet1!F21</f>
        <v>Sales Agent (SA)</v>
      </c>
      <c r="G21">
        <f>Sheet1!G21</f>
        <v>0</v>
      </c>
      <c r="H21">
        <f>Sheet1!H21</f>
        <v>0</v>
      </c>
      <c r="I21" t="str">
        <f>Sheet1!I21</f>
        <v>KURNIAWAN ARIBOWO</v>
      </c>
      <c r="J21" s="2">
        <f>Sheet1!K21</f>
        <v>46205.666242905099</v>
      </c>
      <c r="K21" s="2">
        <f>Sheet1!L21</f>
        <v>46213.3333460301</v>
      </c>
      <c r="L21" t="str">
        <f>Sheet1!M21</f>
        <v>Prospect Cancel</v>
      </c>
      <c r="M21" t="str">
        <f>Sheet1!P21</f>
        <v>DAIHATSU</v>
      </c>
      <c r="N21" t="str">
        <f>Sheet1!Q21</f>
        <v>2016</v>
      </c>
      <c r="O21">
        <f>Sheet1!AB21</f>
        <v>0</v>
      </c>
      <c r="P21" s="2">
        <f>Sheet1!AD21</f>
        <v>0</v>
      </c>
      <c r="Q21" t="str">
        <f>Sheet1!AI21</f>
        <v>RIFKI ARDIAN-126166</v>
      </c>
      <c r="R21" t="str">
        <f>Sheet1!AJ21</f>
        <v/>
      </c>
      <c r="S21" t="str">
        <f>Sheet1!AK21</f>
        <v>Cancel</v>
      </c>
      <c r="T21" t="str">
        <f>Sheet1!AL21</f>
        <v>SA</v>
      </c>
      <c r="U21">
        <f t="shared" si="0"/>
        <v>0</v>
      </c>
    </row>
    <row r="22" spans="1:21" x14ac:dyDescent="0.25">
      <c r="A22">
        <f>Sheet1!A22</f>
        <v>21</v>
      </c>
      <c r="B22" t="str">
        <f>Sheet1!B22</f>
        <v>BENGKULU</v>
      </c>
      <c r="C22" t="str">
        <f>Sheet1!C22</f>
        <v>hendra gunawan</v>
      </c>
      <c r="D22" t="str">
        <f>Sheet1!D22</f>
        <v>ODRNO2607020243</v>
      </c>
      <c r="E22" t="str">
        <f>Sheet1!E22</f>
        <v>809PRS20260701234</v>
      </c>
      <c r="F22" t="str">
        <f>Sheet1!F22</f>
        <v>Sales Agent (SA)</v>
      </c>
      <c r="G22">
        <f>Sheet1!G22</f>
        <v>0</v>
      </c>
      <c r="H22">
        <f>Sheet1!H22</f>
        <v>0</v>
      </c>
      <c r="I22" t="str">
        <f>Sheet1!I22</f>
        <v>ADE CHANDRA PANE</v>
      </c>
      <c r="J22" s="2">
        <f>Sheet1!K22</f>
        <v>46205.964629895803</v>
      </c>
      <c r="K22" s="2">
        <f>Sheet1!L22</f>
        <v>46214.333341782403</v>
      </c>
      <c r="L22" t="str">
        <f>Sheet1!M22</f>
        <v>Prospect Cancel</v>
      </c>
      <c r="M22" t="str">
        <f>Sheet1!P22</f>
        <v>TOYOTA</v>
      </c>
      <c r="N22" t="str">
        <f>Sheet1!Q22</f>
        <v>2020</v>
      </c>
      <c r="O22">
        <f>Sheet1!AB22</f>
        <v>0</v>
      </c>
      <c r="P22" s="2">
        <f>Sheet1!AD22</f>
        <v>0</v>
      </c>
      <c r="Q22" t="str">
        <f>Sheet1!AI22</f>
        <v>JONI PRANATA-126403</v>
      </c>
      <c r="R22" t="str">
        <f>Sheet1!AJ22</f>
        <v/>
      </c>
      <c r="S22" t="str">
        <f>Sheet1!AK22</f>
        <v>Cancel</v>
      </c>
      <c r="T22" t="str">
        <f>Sheet1!AL22</f>
        <v>SA</v>
      </c>
      <c r="U22">
        <f t="shared" si="0"/>
        <v>0</v>
      </c>
    </row>
    <row r="23" spans="1:21" x14ac:dyDescent="0.25">
      <c r="A23">
        <f>Sheet1!A23</f>
        <v>22</v>
      </c>
      <c r="B23" t="str">
        <f>Sheet1!B23</f>
        <v>DENPASAR</v>
      </c>
      <c r="C23" t="str">
        <f>Sheet1!C23</f>
        <v>I WAYAN WARGITA</v>
      </c>
      <c r="D23" t="str">
        <f>Sheet1!D23</f>
        <v>ODRNO2607020069</v>
      </c>
      <c r="E23" t="str">
        <f>Sheet1!E23</f>
        <v>821PRS20260700723</v>
      </c>
      <c r="F23" t="str">
        <f>Sheet1!F23</f>
        <v>LandingPage</v>
      </c>
      <c r="G23">
        <f>Sheet1!G23</f>
        <v>0</v>
      </c>
      <c r="H23">
        <f>Sheet1!H23</f>
        <v>0</v>
      </c>
      <c r="I23" t="str">
        <f>Sheet1!I23</f>
        <v>I MADE BAGUS PUTRA WIRAPASTIKA S I KOM</v>
      </c>
      <c r="J23" s="2">
        <f>Sheet1!K23</f>
        <v>46205.423178437501</v>
      </c>
      <c r="K23" s="2">
        <f>Sheet1!L23</f>
        <v>46213.3333460301</v>
      </c>
      <c r="L23" t="str">
        <f>Sheet1!M23</f>
        <v>Prospect Cancel</v>
      </c>
      <c r="M23" t="str">
        <f>Sheet1!P23</f>
        <v>TOYOTA</v>
      </c>
      <c r="N23" t="str">
        <f>Sheet1!Q23</f>
        <v>2014</v>
      </c>
      <c r="O23">
        <f>Sheet1!AB23</f>
        <v>0</v>
      </c>
      <c r="P23" s="2">
        <f>Sheet1!AD23</f>
        <v>0</v>
      </c>
      <c r="Q23">
        <f>Sheet1!AI23</f>
        <v>0</v>
      </c>
      <c r="R23">
        <f>Sheet1!AJ23</f>
        <v>0</v>
      </c>
      <c r="S23" t="str">
        <f>Sheet1!AK23</f>
        <v>Cancel</v>
      </c>
      <c r="T23" t="str">
        <f>Sheet1!AL23</f>
        <v>SA</v>
      </c>
      <c r="U23">
        <f t="shared" si="0"/>
        <v>0</v>
      </c>
    </row>
    <row r="24" spans="1:21" x14ac:dyDescent="0.25">
      <c r="A24">
        <f>Sheet1!A24</f>
        <v>23</v>
      </c>
      <c r="B24" t="str">
        <f>Sheet1!B24</f>
        <v>LAMPUNG</v>
      </c>
      <c r="C24" t="str">
        <f>Sheet1!C24</f>
        <v>suranti</v>
      </c>
      <c r="D24" t="str">
        <f>Sheet1!D24</f>
        <v>ODRNO2607020166</v>
      </c>
      <c r="E24" t="str">
        <f>Sheet1!E24</f>
        <v>810PRS20260700660</v>
      </c>
      <c r="F24" t="str">
        <f>Sheet1!F24</f>
        <v>Sales Agent (SA)</v>
      </c>
      <c r="G24">
        <f>Sheet1!G24</f>
        <v>0</v>
      </c>
      <c r="H24">
        <f>Sheet1!H24</f>
        <v>0</v>
      </c>
      <c r="I24" t="str">
        <f>Sheet1!I24</f>
        <v>AZWAN</v>
      </c>
      <c r="J24" s="2">
        <f>Sheet1!K24</f>
        <v>46205.625857025501</v>
      </c>
      <c r="K24" s="2">
        <f>Sheet1!L24</f>
        <v>46213.3333460301</v>
      </c>
      <c r="L24" t="str">
        <f>Sheet1!M24</f>
        <v>Prospect Cancel</v>
      </c>
      <c r="M24" t="str">
        <f>Sheet1!P24</f>
        <v>TOYOTA</v>
      </c>
      <c r="N24" t="str">
        <f>Sheet1!Q24</f>
        <v>2018</v>
      </c>
      <c r="O24">
        <f>Sheet1!AB24</f>
        <v>0</v>
      </c>
      <c r="P24" s="2">
        <f>Sheet1!AD24</f>
        <v>0</v>
      </c>
      <c r="Q24" t="str">
        <f>Sheet1!AI24</f>
        <v>SUHENDRI SETIAWAN-126057</v>
      </c>
      <c r="R24" t="str">
        <f>Sheet1!AJ24</f>
        <v/>
      </c>
      <c r="S24" t="str">
        <f>Sheet1!AK24</f>
        <v>Cancel</v>
      </c>
      <c r="T24" t="str">
        <f>Sheet1!AL24</f>
        <v>SA</v>
      </c>
      <c r="U24">
        <f t="shared" si="0"/>
        <v>0</v>
      </c>
    </row>
    <row r="25" spans="1:21" x14ac:dyDescent="0.25">
      <c r="A25">
        <f>Sheet1!A25</f>
        <v>24</v>
      </c>
      <c r="B25" t="str">
        <f>Sheet1!B25</f>
        <v>LAMPUNG</v>
      </c>
      <c r="C25" t="str">
        <f>Sheet1!C25</f>
        <v>nyoman kukuh rianto</v>
      </c>
      <c r="D25" t="str">
        <f>Sheet1!D25</f>
        <v>ODRNO2607020197</v>
      </c>
      <c r="E25" t="str">
        <f>Sheet1!E25</f>
        <v>810PRS20260700661</v>
      </c>
      <c r="F25" t="str">
        <f>Sheet1!F25</f>
        <v>Sales Agent (SA)</v>
      </c>
      <c r="G25">
        <f>Sheet1!G25</f>
        <v>0</v>
      </c>
      <c r="H25" t="str">
        <f>Sheet1!H25</f>
        <v>810APP20260700016</v>
      </c>
      <c r="I25" t="str">
        <f>Sheet1!I25</f>
        <v>AZWAN</v>
      </c>
      <c r="J25" s="2">
        <f>Sheet1!K25</f>
        <v>46205.693371261601</v>
      </c>
      <c r="K25" s="2">
        <f>Sheet1!L25</f>
        <v>46216.7117861921</v>
      </c>
      <c r="L25" t="str">
        <f>Sheet1!M25</f>
        <v>Return Handling</v>
      </c>
      <c r="M25" t="str">
        <f>Sheet1!P25</f>
        <v>TOYOTA</v>
      </c>
      <c r="N25" t="str">
        <f>Sheet1!Q25</f>
        <v>2018</v>
      </c>
      <c r="O25">
        <f>Sheet1!AB25</f>
        <v>0</v>
      </c>
      <c r="P25" s="2">
        <f>Sheet1!AD25</f>
        <v>46216</v>
      </c>
      <c r="Q25" t="str">
        <f>Sheet1!AI25</f>
        <v>TOMMI CHINTYO GELLI-126008</v>
      </c>
      <c r="R25" t="str">
        <f>Sheet1!AJ25</f>
        <v/>
      </c>
      <c r="S25" t="str">
        <f>Sheet1!AK25</f>
        <v>In Proses</v>
      </c>
      <c r="T25" t="str">
        <f>Sheet1!AL25</f>
        <v>SA</v>
      </c>
      <c r="U25" t="str">
        <f t="shared" si="0"/>
        <v>Done Survey</v>
      </c>
    </row>
    <row r="26" spans="1:21" x14ac:dyDescent="0.25">
      <c r="A26">
        <f>Sheet1!A26</f>
        <v>25</v>
      </c>
      <c r="B26" t="str">
        <f>Sheet1!B26</f>
        <v>MEDAN DUA</v>
      </c>
      <c r="C26" t="str">
        <f>Sheet1!C26</f>
        <v>ERWIN CANDRA RANGKUTI</v>
      </c>
      <c r="D26" t="str">
        <f>Sheet1!D26</f>
        <v>ODRNO2607020021</v>
      </c>
      <c r="E26" t="str">
        <f>Sheet1!E26</f>
        <v>839PRS20260700863</v>
      </c>
      <c r="F26" t="str">
        <f>Sheet1!F26</f>
        <v>Sales Agent (SA)</v>
      </c>
      <c r="G26">
        <f>Sheet1!G26</f>
        <v>0</v>
      </c>
      <c r="H26" t="str">
        <f>Sheet1!H26</f>
        <v>839APP20260700003</v>
      </c>
      <c r="I26" t="str">
        <f>Sheet1!I26</f>
        <v>WASTO SIHOMBING</v>
      </c>
      <c r="J26" s="2">
        <f>Sheet1!K26</f>
        <v>46205.353950810197</v>
      </c>
      <c r="K26" s="2">
        <f>Sheet1!L26</f>
        <v>46206.719757372703</v>
      </c>
      <c r="L26" t="str">
        <f>Sheet1!M26</f>
        <v>Return Handling</v>
      </c>
      <c r="M26" t="str">
        <f>Sheet1!P26</f>
        <v>TOYOTA</v>
      </c>
      <c r="N26" t="str">
        <f>Sheet1!Q26</f>
        <v>2022</v>
      </c>
      <c r="O26">
        <f>Sheet1!AB26</f>
        <v>0</v>
      </c>
      <c r="P26" s="2">
        <f>Sheet1!AD26</f>
        <v>46206</v>
      </c>
      <c r="Q26" t="str">
        <f>Sheet1!AI26</f>
        <v>FANNY TRI WAHYUNI TANJUNG-126080</v>
      </c>
      <c r="R26" t="str">
        <f>Sheet1!AJ26</f>
        <v/>
      </c>
      <c r="S26" t="str">
        <f>Sheet1!AK26</f>
        <v>In Proses</v>
      </c>
      <c r="T26" t="str">
        <f>Sheet1!AL26</f>
        <v>SA</v>
      </c>
      <c r="U26" t="str">
        <f t="shared" si="0"/>
        <v>Done Survey</v>
      </c>
    </row>
    <row r="27" spans="1:21" x14ac:dyDescent="0.25">
      <c r="A27">
        <f>Sheet1!A27</f>
        <v>26</v>
      </c>
      <c r="B27" t="str">
        <f>Sheet1!B27</f>
        <v>MEDAN DUA</v>
      </c>
      <c r="C27" t="str">
        <f>Sheet1!C27</f>
        <v>WAGIMAN</v>
      </c>
      <c r="D27" t="str">
        <f>Sheet1!D27</f>
        <v>ODRNO2607020152</v>
      </c>
      <c r="E27" t="str">
        <f>Sheet1!E27</f>
        <v>839PRS20260700865</v>
      </c>
      <c r="F27" t="str">
        <f>Sheet1!F27</f>
        <v>Sales Agent (SA)</v>
      </c>
      <c r="G27">
        <f>Sheet1!G27</f>
        <v>0</v>
      </c>
      <c r="H27">
        <f>Sheet1!H27</f>
        <v>0</v>
      </c>
      <c r="I27" t="str">
        <f>Sheet1!I27</f>
        <v>WASTO SIHOMBING</v>
      </c>
      <c r="J27" s="2">
        <f>Sheet1!K27</f>
        <v>46205.584851585598</v>
      </c>
      <c r="K27" s="2">
        <f>Sheet1!L27</f>
        <v>46213.3333460301</v>
      </c>
      <c r="L27" t="str">
        <f>Sheet1!M27</f>
        <v>Prospect Cancel</v>
      </c>
      <c r="M27" t="str">
        <f>Sheet1!P27</f>
        <v>TOYOTA</v>
      </c>
      <c r="N27" t="str">
        <f>Sheet1!Q27</f>
        <v>2021</v>
      </c>
      <c r="O27">
        <f>Sheet1!AB27</f>
        <v>0</v>
      </c>
      <c r="P27" s="2">
        <f>Sheet1!AD27</f>
        <v>0</v>
      </c>
      <c r="Q27" t="str">
        <f>Sheet1!AI27</f>
        <v>HERRY BUDIANTO MANULLANG-126401</v>
      </c>
      <c r="R27" t="str">
        <f>Sheet1!AJ27</f>
        <v/>
      </c>
      <c r="S27" t="str">
        <f>Sheet1!AK27</f>
        <v>Cancel</v>
      </c>
      <c r="T27" t="str">
        <f>Sheet1!AL27</f>
        <v>SA</v>
      </c>
      <c r="U27">
        <f t="shared" si="0"/>
        <v>0</v>
      </c>
    </row>
    <row r="28" spans="1:21" x14ac:dyDescent="0.25">
      <c r="A28">
        <f>Sheet1!A28</f>
        <v>27</v>
      </c>
      <c r="B28" t="str">
        <f>Sheet1!B28</f>
        <v>PEKANBARU</v>
      </c>
      <c r="C28" t="str">
        <f>Sheet1!C28</f>
        <v>JUHELDI PRATAMA</v>
      </c>
      <c r="D28" t="str">
        <f>Sheet1!D28</f>
        <v>ODRNO2607020159</v>
      </c>
      <c r="E28" t="str">
        <f>Sheet1!E28</f>
        <v>805PRS20260702478</v>
      </c>
      <c r="F28" t="str">
        <f>Sheet1!F28</f>
        <v>Sales Agent (SA)</v>
      </c>
      <c r="G28">
        <f>Sheet1!G28</f>
        <v>0</v>
      </c>
      <c r="H28">
        <f>Sheet1!H28</f>
        <v>0</v>
      </c>
      <c r="I28" t="str">
        <f>Sheet1!I28</f>
        <v>MUHAMMAD RIDWAN</v>
      </c>
      <c r="J28" s="2">
        <f>Sheet1!K28</f>
        <v>46205.618584525502</v>
      </c>
      <c r="K28" s="2">
        <f>Sheet1!L28</f>
        <v>46213.3333460301</v>
      </c>
      <c r="L28" t="str">
        <f>Sheet1!M28</f>
        <v>Prospect Cancel</v>
      </c>
      <c r="M28" t="str">
        <f>Sheet1!P28</f>
        <v>TOYOTA</v>
      </c>
      <c r="N28" t="str">
        <f>Sheet1!Q28</f>
        <v>2022</v>
      </c>
      <c r="O28">
        <f>Sheet1!AB28</f>
        <v>0</v>
      </c>
      <c r="P28" s="2">
        <f>Sheet1!AD28</f>
        <v>0</v>
      </c>
      <c r="Q28" t="str">
        <f>Sheet1!AI28</f>
        <v>WIWIN PRASETYA-126121</v>
      </c>
      <c r="R28" t="str">
        <f>Sheet1!AJ28</f>
        <v/>
      </c>
      <c r="S28" t="str">
        <f>Sheet1!AK28</f>
        <v>Cancel</v>
      </c>
      <c r="T28" t="str">
        <f>Sheet1!AL28</f>
        <v>SA</v>
      </c>
      <c r="U28">
        <f t="shared" si="0"/>
        <v>0</v>
      </c>
    </row>
    <row r="29" spans="1:21" x14ac:dyDescent="0.25">
      <c r="A29">
        <f>Sheet1!A29</f>
        <v>28</v>
      </c>
      <c r="B29" t="str">
        <f>Sheet1!B29</f>
        <v>SAMARINDA</v>
      </c>
      <c r="C29" t="str">
        <f>Sheet1!C29</f>
        <v>MATHIUS JEFRIE</v>
      </c>
      <c r="D29" t="str">
        <f>Sheet1!D29</f>
        <v>ODRNO2607020098</v>
      </c>
      <c r="E29" t="str">
        <f>Sheet1!E29</f>
        <v>823PRS20260700356</v>
      </c>
      <c r="F29" t="str">
        <f>Sheet1!F29</f>
        <v>Telemarketing Program</v>
      </c>
      <c r="G29">
        <f>Sheet1!G29</f>
        <v>0</v>
      </c>
      <c r="H29">
        <f>Sheet1!H29</f>
        <v>0</v>
      </c>
      <c r="I29" t="str">
        <f>Sheet1!I29</f>
        <v>BAYU SAPUTRA</v>
      </c>
      <c r="J29" s="2">
        <f>Sheet1!K29</f>
        <v>46205.471237071797</v>
      </c>
      <c r="K29" s="2">
        <f>Sheet1!L29</f>
        <v>46213.3333460301</v>
      </c>
      <c r="L29" t="str">
        <f>Sheet1!M29</f>
        <v>Prospect Cancel</v>
      </c>
      <c r="M29" t="str">
        <f>Sheet1!P29</f>
        <v>TOYOTA</v>
      </c>
      <c r="N29" t="str">
        <f>Sheet1!Q29</f>
        <v>2021</v>
      </c>
      <c r="O29">
        <f>Sheet1!AB29</f>
        <v>0</v>
      </c>
      <c r="P29" s="2">
        <f>Sheet1!AD29</f>
        <v>0</v>
      </c>
      <c r="Q29">
        <f>Sheet1!AI29</f>
        <v>0</v>
      </c>
      <c r="R29">
        <f>Sheet1!AJ29</f>
        <v>0</v>
      </c>
      <c r="S29" t="str">
        <f>Sheet1!AK29</f>
        <v>Cancel</v>
      </c>
      <c r="T29" t="str">
        <f>Sheet1!AL29</f>
        <v>Tele</v>
      </c>
      <c r="U29">
        <f t="shared" si="0"/>
        <v>0</v>
      </c>
    </row>
    <row r="30" spans="1:21" x14ac:dyDescent="0.25">
      <c r="A30">
        <f>Sheet1!A30</f>
        <v>29</v>
      </c>
      <c r="B30" t="str">
        <f>Sheet1!B30</f>
        <v>SURABAYA SATU</v>
      </c>
      <c r="C30" t="str">
        <f>Sheet1!C30</f>
        <v>dimas endar christa pahlawan</v>
      </c>
      <c r="D30" t="str">
        <f>Sheet1!D30</f>
        <v>ODRNO2607020085</v>
      </c>
      <c r="E30" t="str">
        <f>Sheet1!E30</f>
        <v>819PRS20260700993</v>
      </c>
      <c r="F30" t="str">
        <f>Sheet1!F30</f>
        <v>Sales Agent (SA)</v>
      </c>
      <c r="G30" t="str">
        <f>Sheet1!G30</f>
        <v>8191022600009</v>
      </c>
      <c r="H30" t="str">
        <f>Sheet1!H30</f>
        <v>819APP20260700006</v>
      </c>
      <c r="I30" t="str">
        <f>Sheet1!I30</f>
        <v>PONDRA PUJIONO</v>
      </c>
      <c r="J30" s="2">
        <f>Sheet1!K30</f>
        <v>46205.450352083302</v>
      </c>
      <c r="K30" s="2">
        <f>Sheet1!L30</f>
        <v>46211.269548958298</v>
      </c>
      <c r="L30" t="str">
        <f>Sheet1!M30</f>
        <v>Go Live</v>
      </c>
      <c r="M30" t="str">
        <f>Sheet1!P30</f>
        <v>FORD</v>
      </c>
      <c r="N30" t="str">
        <f>Sheet1!Q30</f>
        <v>2014</v>
      </c>
      <c r="O30">
        <f>Sheet1!AB30</f>
        <v>64800060</v>
      </c>
      <c r="P30" s="2">
        <f>Sheet1!AD30</f>
        <v>46209</v>
      </c>
      <c r="Q30" t="str">
        <f>Sheet1!AI30</f>
        <v>DWI HARTO-226039</v>
      </c>
      <c r="R30" t="str">
        <f>Sheet1!AJ30</f>
        <v/>
      </c>
      <c r="S30" t="str">
        <f>Sheet1!AK30</f>
        <v>Golive</v>
      </c>
      <c r="T30" t="str">
        <f>Sheet1!AL30</f>
        <v>SA</v>
      </c>
      <c r="U30" t="str">
        <f t="shared" si="0"/>
        <v>Done Survey</v>
      </c>
    </row>
    <row r="31" spans="1:21" x14ac:dyDescent="0.25">
      <c r="A31">
        <f>Sheet1!A31</f>
        <v>30</v>
      </c>
      <c r="B31" t="str">
        <f>Sheet1!B31</f>
        <v>ALAM SUTERA</v>
      </c>
      <c r="C31" t="str">
        <f>Sheet1!C31</f>
        <v>MOHAMAD NGAFIF</v>
      </c>
      <c r="D31" t="str">
        <f>Sheet1!D31</f>
        <v>ODRNO2607030054</v>
      </c>
      <c r="E31" t="str">
        <f>Sheet1!E31</f>
        <v>838PRS20260702417</v>
      </c>
      <c r="F31" t="str">
        <f>Sheet1!F31</f>
        <v>Sales Agent (SA)</v>
      </c>
      <c r="G31" t="str">
        <f>Sheet1!G31</f>
        <v>8381032600024</v>
      </c>
      <c r="H31" t="str">
        <f>Sheet1!H31</f>
        <v>838APP20260700015</v>
      </c>
      <c r="I31" t="str">
        <f>Sheet1!I31</f>
        <v>IBRAHIM AZIZ</v>
      </c>
      <c r="J31" s="2">
        <f>Sheet1!K31</f>
        <v>46206.424454861102</v>
      </c>
      <c r="K31" s="2">
        <f>Sheet1!L31</f>
        <v>46210.479607025503</v>
      </c>
      <c r="L31" t="str">
        <f>Sheet1!M31</f>
        <v>Go Live</v>
      </c>
      <c r="M31" t="str">
        <f>Sheet1!P31</f>
        <v>TOYOTA</v>
      </c>
      <c r="N31" t="str">
        <f>Sheet1!Q31</f>
        <v>2025</v>
      </c>
      <c r="O31">
        <f>Sheet1!AB31</f>
        <v>174939500</v>
      </c>
      <c r="P31" s="2">
        <f>Sheet1!AD31</f>
        <v>46209</v>
      </c>
      <c r="Q31" t="str">
        <f>Sheet1!AI31</f>
        <v>DONNIE PRASTIYO-526010</v>
      </c>
      <c r="R31" t="str">
        <f>Sheet1!AJ31</f>
        <v/>
      </c>
      <c r="S31" t="str">
        <f>Sheet1!AK31</f>
        <v>Golive</v>
      </c>
      <c r="T31" t="str">
        <f>Sheet1!AL31</f>
        <v>SA</v>
      </c>
      <c r="U31" t="str">
        <f t="shared" si="0"/>
        <v>Done Survey</v>
      </c>
    </row>
    <row r="32" spans="1:21" x14ac:dyDescent="0.25">
      <c r="A32">
        <f>Sheet1!A32</f>
        <v>31</v>
      </c>
      <c r="B32" t="str">
        <f>Sheet1!B32</f>
        <v>ALAM SUTERA</v>
      </c>
      <c r="C32" t="str">
        <f>Sheet1!C32</f>
        <v>ABID HAIKAL AFIFI</v>
      </c>
      <c r="D32" t="str">
        <f>Sheet1!D32</f>
        <v>ODRNO2607030055</v>
      </c>
      <c r="E32" t="str">
        <f>Sheet1!E32</f>
        <v>838PRS20260702418</v>
      </c>
      <c r="F32" t="str">
        <f>Sheet1!F32</f>
        <v>Sales Agent (SA)</v>
      </c>
      <c r="G32">
        <f>Sheet1!G32</f>
        <v>0</v>
      </c>
      <c r="H32">
        <f>Sheet1!H32</f>
        <v>0</v>
      </c>
      <c r="I32" t="str">
        <f>Sheet1!I32</f>
        <v>IBRAHIM AZIZ</v>
      </c>
      <c r="J32" s="2">
        <f>Sheet1!K32</f>
        <v>46206.427349386599</v>
      </c>
      <c r="K32" s="2">
        <f>Sheet1!L32</f>
        <v>46206.442106053197</v>
      </c>
      <c r="L32" t="str">
        <f>Sheet1!M32</f>
        <v>Prospect Cancel</v>
      </c>
      <c r="M32" t="str">
        <f>Sheet1!P32</f>
        <v>TOYOTA</v>
      </c>
      <c r="N32" t="str">
        <f>Sheet1!Q32</f>
        <v>2025</v>
      </c>
      <c r="O32">
        <f>Sheet1!AB32</f>
        <v>0</v>
      </c>
      <c r="P32" s="2">
        <f>Sheet1!AD32</f>
        <v>0</v>
      </c>
      <c r="Q32" t="str">
        <f>Sheet1!AI32</f>
        <v>DONNIE PRASTIYO-526010</v>
      </c>
      <c r="R32" t="str">
        <f>Sheet1!AJ32</f>
        <v/>
      </c>
      <c r="S32" t="str">
        <f>Sheet1!AK32</f>
        <v>Cancel</v>
      </c>
      <c r="T32" t="str">
        <f>Sheet1!AL32</f>
        <v>SA</v>
      </c>
      <c r="U32">
        <f t="shared" si="0"/>
        <v>0</v>
      </c>
    </row>
    <row r="33" spans="1:21" x14ac:dyDescent="0.25">
      <c r="A33">
        <f>Sheet1!A33</f>
        <v>32</v>
      </c>
      <c r="B33" t="str">
        <f>Sheet1!B33</f>
        <v>BANDUNG</v>
      </c>
      <c r="C33" t="str">
        <f>Sheet1!C33</f>
        <v>Ratna Komala</v>
      </c>
      <c r="D33" t="str">
        <f>Sheet1!D33</f>
        <v>ODRNO2607030016</v>
      </c>
      <c r="E33" t="str">
        <f>Sheet1!E33</f>
        <v>813PRS20260705061</v>
      </c>
      <c r="F33" t="str">
        <f>Sheet1!F33</f>
        <v>Sales Agent (SA)</v>
      </c>
      <c r="G33">
        <f>Sheet1!G33</f>
        <v>0</v>
      </c>
      <c r="H33">
        <f>Sheet1!H33</f>
        <v>0</v>
      </c>
      <c r="I33" t="str">
        <f>Sheet1!I33</f>
        <v>RISKI DALNI</v>
      </c>
      <c r="J33" s="2">
        <f>Sheet1!K33</f>
        <v>46206.353523611098</v>
      </c>
      <c r="K33" s="2">
        <f>Sheet1!L33</f>
        <v>46206.431224652799</v>
      </c>
      <c r="L33" t="str">
        <f>Sheet1!M33</f>
        <v>Prospect Cancel</v>
      </c>
      <c r="M33" t="str">
        <f>Sheet1!P33</f>
        <v>TOYOTA</v>
      </c>
      <c r="N33" t="str">
        <f>Sheet1!Q33</f>
        <v>2011</v>
      </c>
      <c r="O33">
        <f>Sheet1!AB33</f>
        <v>0</v>
      </c>
      <c r="P33" s="2">
        <f>Sheet1!AD33</f>
        <v>0</v>
      </c>
      <c r="Q33" t="str">
        <f>Sheet1!AI33</f>
        <v>HERNA SIGIRO-126305</v>
      </c>
      <c r="R33" t="str">
        <f>Sheet1!AJ33</f>
        <v/>
      </c>
      <c r="S33" t="str">
        <f>Sheet1!AK33</f>
        <v>Cancel</v>
      </c>
      <c r="T33" t="str">
        <f>Sheet1!AL33</f>
        <v>SA</v>
      </c>
      <c r="U33">
        <f t="shared" si="0"/>
        <v>0</v>
      </c>
    </row>
    <row r="34" spans="1:21" x14ac:dyDescent="0.25">
      <c r="A34">
        <f>Sheet1!A34</f>
        <v>33</v>
      </c>
      <c r="B34" t="str">
        <f>Sheet1!B34</f>
        <v>BANDUNG</v>
      </c>
      <c r="C34" t="str">
        <f>Sheet1!C34</f>
        <v>MUHAMAD RIVAN APRIANTO</v>
      </c>
      <c r="D34" t="str">
        <f>Sheet1!D34</f>
        <v>ODRNO2607030062</v>
      </c>
      <c r="E34" t="str">
        <f>Sheet1!E34</f>
        <v>813PRS20260705068</v>
      </c>
      <c r="F34" t="str">
        <f>Sheet1!F34</f>
        <v>Sales Agent (SA)</v>
      </c>
      <c r="G34">
        <f>Sheet1!G34</f>
        <v>0</v>
      </c>
      <c r="H34">
        <f>Sheet1!H34</f>
        <v>0</v>
      </c>
      <c r="I34" t="str">
        <f>Sheet1!I34</f>
        <v>RAMDHAN FIRMANSYAH</v>
      </c>
      <c r="J34" s="2">
        <f>Sheet1!K34</f>
        <v>46206.436638576401</v>
      </c>
      <c r="K34" s="2">
        <f>Sheet1!L34</f>
        <v>46214.333341782403</v>
      </c>
      <c r="L34" t="str">
        <f>Sheet1!M34</f>
        <v>Prospect Cancel</v>
      </c>
      <c r="M34" t="str">
        <f>Sheet1!P34</f>
        <v>HONDA</v>
      </c>
      <c r="N34" t="str">
        <f>Sheet1!Q34</f>
        <v>2015</v>
      </c>
      <c r="O34">
        <f>Sheet1!AB34</f>
        <v>0</v>
      </c>
      <c r="P34" s="2">
        <f>Sheet1!AD34</f>
        <v>0</v>
      </c>
      <c r="Q34" t="str">
        <f>Sheet1!AI34</f>
        <v>FENDI RUSNANDI SH-126315</v>
      </c>
      <c r="R34" t="str">
        <f>Sheet1!AJ34</f>
        <v/>
      </c>
      <c r="S34" t="str">
        <f>Sheet1!AK34</f>
        <v>Cancel</v>
      </c>
      <c r="T34" t="str">
        <f>Sheet1!AL34</f>
        <v>SA</v>
      </c>
      <c r="U34">
        <f t="shared" si="0"/>
        <v>0</v>
      </c>
    </row>
    <row r="35" spans="1:21" x14ac:dyDescent="0.25">
      <c r="A35">
        <f>Sheet1!A35</f>
        <v>34</v>
      </c>
      <c r="B35" t="str">
        <f>Sheet1!B35</f>
        <v>BANDUNG</v>
      </c>
      <c r="C35" t="str">
        <f>Sheet1!C35</f>
        <v>DENI PARDANI</v>
      </c>
      <c r="D35" t="str">
        <f>Sheet1!D35</f>
        <v>ODRNO2607030100</v>
      </c>
      <c r="E35" t="str">
        <f>Sheet1!E35</f>
        <v>813PRS20260705075</v>
      </c>
      <c r="F35" t="str">
        <f>Sheet1!F35</f>
        <v>Sales Agent (SA)</v>
      </c>
      <c r="G35">
        <f>Sheet1!G35</f>
        <v>0</v>
      </c>
      <c r="H35">
        <f>Sheet1!H35</f>
        <v>0</v>
      </c>
      <c r="I35" t="str">
        <f>Sheet1!I35</f>
        <v>RAMDHAN FIRMANSYAH</v>
      </c>
      <c r="J35" s="2">
        <f>Sheet1!K35</f>
        <v>46206.535401851797</v>
      </c>
      <c r="K35" s="2">
        <f>Sheet1!L35</f>
        <v>46214.333341782403</v>
      </c>
      <c r="L35" t="str">
        <f>Sheet1!M35</f>
        <v>Prospect Cancel</v>
      </c>
      <c r="M35" t="str">
        <f>Sheet1!P35</f>
        <v>NISSAN</v>
      </c>
      <c r="N35" t="str">
        <f>Sheet1!Q35</f>
        <v>2011</v>
      </c>
      <c r="O35">
        <f>Sheet1!AB35</f>
        <v>0</v>
      </c>
      <c r="P35" s="2">
        <f>Sheet1!AD35</f>
        <v>0</v>
      </c>
      <c r="Q35" t="str">
        <f>Sheet1!AI35</f>
        <v>ARIS YULIANSYAH HILMAN-126175</v>
      </c>
      <c r="R35" t="str">
        <f>Sheet1!AJ35</f>
        <v/>
      </c>
      <c r="S35" t="str">
        <f>Sheet1!AK35</f>
        <v>Cancel</v>
      </c>
      <c r="T35" t="str">
        <f>Sheet1!AL35</f>
        <v>SA</v>
      </c>
      <c r="U35">
        <f t="shared" si="0"/>
        <v>0</v>
      </c>
    </row>
    <row r="36" spans="1:21" x14ac:dyDescent="0.25">
      <c r="A36">
        <f>Sheet1!A36</f>
        <v>35</v>
      </c>
      <c r="B36" t="str">
        <f>Sheet1!B36</f>
        <v>BANDUNG</v>
      </c>
      <c r="C36" t="str">
        <f>Sheet1!C36</f>
        <v>Getty Amanu Suciati</v>
      </c>
      <c r="D36" t="str">
        <f>Sheet1!D36</f>
        <v>ODRNO2607030135</v>
      </c>
      <c r="E36" t="str">
        <f>Sheet1!E36</f>
        <v>813PRS20260705080</v>
      </c>
      <c r="F36" t="str">
        <f>Sheet1!F36</f>
        <v>Sales Agent (SA)</v>
      </c>
      <c r="G36">
        <f>Sheet1!G36</f>
        <v>0</v>
      </c>
      <c r="H36">
        <f>Sheet1!H36</f>
        <v>0</v>
      </c>
      <c r="I36" t="str">
        <f>Sheet1!I36</f>
        <v>RISKI DALNI</v>
      </c>
      <c r="J36" s="2">
        <f>Sheet1!K36</f>
        <v>46206.587660451398</v>
      </c>
      <c r="K36" s="2">
        <f>Sheet1!L36</f>
        <v>46215.333346909698</v>
      </c>
      <c r="L36" t="str">
        <f>Sheet1!M36</f>
        <v>Prospect Cancel</v>
      </c>
      <c r="M36" t="str">
        <f>Sheet1!P36</f>
        <v>HONDA</v>
      </c>
      <c r="N36" t="str">
        <f>Sheet1!Q36</f>
        <v>2016</v>
      </c>
      <c r="O36">
        <f>Sheet1!AB36</f>
        <v>0</v>
      </c>
      <c r="P36" s="2">
        <f>Sheet1!AD36</f>
        <v>0</v>
      </c>
      <c r="Q36" t="str">
        <f>Sheet1!AI36</f>
        <v>HANAN MULYANA-0626048</v>
      </c>
      <c r="R36" t="str">
        <f>Sheet1!AJ36</f>
        <v/>
      </c>
      <c r="S36" t="str">
        <f>Sheet1!AK36</f>
        <v>Cancel</v>
      </c>
      <c r="T36" t="str">
        <f>Sheet1!AL36</f>
        <v>SA</v>
      </c>
      <c r="U36">
        <f t="shared" si="0"/>
        <v>0</v>
      </c>
    </row>
    <row r="37" spans="1:21" x14ac:dyDescent="0.25">
      <c r="A37">
        <f>Sheet1!A37</f>
        <v>36</v>
      </c>
      <c r="B37" t="str">
        <f>Sheet1!B37</f>
        <v>BANDUNG</v>
      </c>
      <c r="C37" t="str">
        <f>Sheet1!C37</f>
        <v>Alfi</v>
      </c>
      <c r="D37" t="str">
        <f>Sheet1!D37</f>
        <v>ODRNO2607030141</v>
      </c>
      <c r="E37" t="str">
        <f>Sheet1!E37</f>
        <v>813PRS20260705082</v>
      </c>
      <c r="F37" t="str">
        <f>Sheet1!F37</f>
        <v>Sales Agent (SA)</v>
      </c>
      <c r="G37">
        <f>Sheet1!G37</f>
        <v>0</v>
      </c>
      <c r="H37">
        <f>Sheet1!H37</f>
        <v>0</v>
      </c>
      <c r="I37" t="str">
        <f>Sheet1!I37</f>
        <v>RISKI DALNI</v>
      </c>
      <c r="J37" s="2">
        <f>Sheet1!K37</f>
        <v>46206.600647303203</v>
      </c>
      <c r="K37" s="2">
        <f>Sheet1!L37</f>
        <v>46214.333341782403</v>
      </c>
      <c r="L37" t="str">
        <f>Sheet1!M37</f>
        <v>Prospect Cancel</v>
      </c>
      <c r="M37" t="str">
        <f>Sheet1!P37</f>
        <v>DAIHATSU</v>
      </c>
      <c r="N37" t="str">
        <f>Sheet1!Q37</f>
        <v>2020</v>
      </c>
      <c r="O37">
        <f>Sheet1!AB37</f>
        <v>0</v>
      </c>
      <c r="P37" s="2">
        <f>Sheet1!AD37</f>
        <v>0</v>
      </c>
      <c r="Q37" t="str">
        <f>Sheet1!AI37</f>
        <v>REZA KURNIAWAN-0626057</v>
      </c>
      <c r="R37" t="str">
        <f>Sheet1!AJ37</f>
        <v/>
      </c>
      <c r="S37" t="str">
        <f>Sheet1!AK37</f>
        <v>Cancel</v>
      </c>
      <c r="T37" t="str">
        <f>Sheet1!AL37</f>
        <v>SA</v>
      </c>
      <c r="U37">
        <f t="shared" si="0"/>
        <v>0</v>
      </c>
    </row>
    <row r="38" spans="1:21" x14ac:dyDescent="0.25">
      <c r="A38">
        <f>Sheet1!A38</f>
        <v>37</v>
      </c>
      <c r="B38" t="str">
        <f>Sheet1!B38</f>
        <v>BATAM</v>
      </c>
      <c r="C38" t="str">
        <f>Sheet1!C38</f>
        <v>nur samsidar</v>
      </c>
      <c r="D38" t="str">
        <f>Sheet1!D38</f>
        <v>ODRNO2607030088</v>
      </c>
      <c r="E38" t="str">
        <f>Sheet1!E38</f>
        <v>806PRS20260702006</v>
      </c>
      <c r="F38" t="str">
        <f>Sheet1!F38</f>
        <v>Sales Agent (SA)</v>
      </c>
      <c r="G38">
        <f>Sheet1!G38</f>
        <v>0</v>
      </c>
      <c r="H38">
        <f>Sheet1!H38</f>
        <v>0</v>
      </c>
      <c r="I38" t="str">
        <f>Sheet1!I38</f>
        <v>ANDINA WAHYUNI PUSPITASARI</v>
      </c>
      <c r="J38" s="2">
        <f>Sheet1!K38</f>
        <v>46206.489576076397</v>
      </c>
      <c r="K38" s="2">
        <f>Sheet1!L38</f>
        <v>46206.507015080999</v>
      </c>
      <c r="L38" t="str">
        <f>Sheet1!M38</f>
        <v>Prospect Cancel</v>
      </c>
      <c r="M38" t="str">
        <f>Sheet1!P38</f>
        <v>SUZUKI</v>
      </c>
      <c r="N38" t="str">
        <f>Sheet1!Q38</f>
        <v>2022</v>
      </c>
      <c r="O38">
        <f>Sheet1!AB38</f>
        <v>0</v>
      </c>
      <c r="P38" s="2">
        <f>Sheet1!AD38</f>
        <v>0</v>
      </c>
      <c r="Q38" t="str">
        <f>Sheet1!AI38</f>
        <v>FAHREZA PERKASA ALAM-0726005</v>
      </c>
      <c r="R38" t="str">
        <f>Sheet1!AJ38</f>
        <v/>
      </c>
      <c r="S38" t="str">
        <f>Sheet1!AK38</f>
        <v>Cancel</v>
      </c>
      <c r="T38" t="str">
        <f>Sheet1!AL38</f>
        <v>SA</v>
      </c>
      <c r="U38">
        <f t="shared" si="0"/>
        <v>0</v>
      </c>
    </row>
    <row r="39" spans="1:21" x14ac:dyDescent="0.25">
      <c r="A39">
        <f>Sheet1!A39</f>
        <v>38</v>
      </c>
      <c r="B39" t="str">
        <f>Sheet1!B39</f>
        <v>BEKASI</v>
      </c>
      <c r="C39" t="str">
        <f>Sheet1!C39</f>
        <v>m imron andrianto</v>
      </c>
      <c r="D39" t="str">
        <f>Sheet1!D39</f>
        <v>ODRNO2607030102</v>
      </c>
      <c r="E39" t="str">
        <f>Sheet1!E39</f>
        <v>811PRS20260704491</v>
      </c>
      <c r="F39" t="str">
        <f>Sheet1!F39</f>
        <v>Sales Agent (SA)</v>
      </c>
      <c r="G39">
        <f>Sheet1!G39</f>
        <v>0</v>
      </c>
      <c r="H39">
        <f>Sheet1!H39</f>
        <v>0</v>
      </c>
      <c r="I39" t="str">
        <f>Sheet1!I39</f>
        <v>KURNIAWAN ARIBOWO</v>
      </c>
      <c r="J39" s="2">
        <f>Sheet1!K39</f>
        <v>46206.538433599497</v>
      </c>
      <c r="K39" s="2">
        <f>Sheet1!L39</f>
        <v>46214.333341782403</v>
      </c>
      <c r="L39" t="str">
        <f>Sheet1!M39</f>
        <v>Prospect Cancel</v>
      </c>
      <c r="M39" t="str">
        <f>Sheet1!P39</f>
        <v>TOYOTA</v>
      </c>
      <c r="N39" t="str">
        <f>Sheet1!Q39</f>
        <v>2022</v>
      </c>
      <c r="O39">
        <f>Sheet1!AB39</f>
        <v>0</v>
      </c>
      <c r="P39" s="2">
        <f>Sheet1!AD39</f>
        <v>0</v>
      </c>
      <c r="Q39" t="str">
        <f>Sheet1!AI39</f>
        <v>AHMAD CHAIRUL-126059</v>
      </c>
      <c r="R39" t="str">
        <f>Sheet1!AJ39</f>
        <v/>
      </c>
      <c r="S39" t="str">
        <f>Sheet1!AK39</f>
        <v>Cancel</v>
      </c>
      <c r="T39" t="str">
        <f>Sheet1!AL39</f>
        <v>SA</v>
      </c>
      <c r="U39">
        <f t="shared" si="0"/>
        <v>0</v>
      </c>
    </row>
    <row r="40" spans="1:21" x14ac:dyDescent="0.25">
      <c r="A40">
        <f>Sheet1!A40</f>
        <v>39</v>
      </c>
      <c r="B40" t="str">
        <f>Sheet1!B40</f>
        <v>BEKASI</v>
      </c>
      <c r="C40" t="str">
        <f>Sheet1!C40</f>
        <v>arya geni utama</v>
      </c>
      <c r="D40" t="str">
        <f>Sheet1!D40</f>
        <v>ODRNO2607030155</v>
      </c>
      <c r="E40" t="str">
        <f>Sheet1!E40</f>
        <v>811PRS20260704501</v>
      </c>
      <c r="F40" t="str">
        <f>Sheet1!F40</f>
        <v>Sales Agent (SA)</v>
      </c>
      <c r="G40">
        <f>Sheet1!G40</f>
        <v>0</v>
      </c>
      <c r="H40">
        <f>Sheet1!H40</f>
        <v>0</v>
      </c>
      <c r="I40" t="str">
        <f>Sheet1!I40</f>
        <v>KURNIAWAN ARIBOWO</v>
      </c>
      <c r="J40" s="2">
        <f>Sheet1!K40</f>
        <v>46206.626878703697</v>
      </c>
      <c r="K40" s="2">
        <f>Sheet1!L40</f>
        <v>46215.333346909698</v>
      </c>
      <c r="L40" t="str">
        <f>Sheet1!M40</f>
        <v>Prospect Cancel</v>
      </c>
      <c r="M40" t="str">
        <f>Sheet1!P40</f>
        <v>HONDA</v>
      </c>
      <c r="N40" t="str">
        <f>Sheet1!Q40</f>
        <v>2019</v>
      </c>
      <c r="O40">
        <f>Sheet1!AB40</f>
        <v>0</v>
      </c>
      <c r="P40" s="2">
        <f>Sheet1!AD40</f>
        <v>0</v>
      </c>
      <c r="Q40" t="str">
        <f>Sheet1!AI40</f>
        <v>ALEXANDER MARCEL-326017</v>
      </c>
      <c r="R40" t="str">
        <f>Sheet1!AJ40</f>
        <v/>
      </c>
      <c r="S40" t="str">
        <f>Sheet1!AK40</f>
        <v>Cancel</v>
      </c>
      <c r="T40" t="str">
        <f>Sheet1!AL40</f>
        <v>SA</v>
      </c>
      <c r="U40">
        <f t="shared" si="0"/>
        <v>0</v>
      </c>
    </row>
    <row r="41" spans="1:21" x14ac:dyDescent="0.25">
      <c r="A41">
        <f>Sheet1!A41</f>
        <v>40</v>
      </c>
      <c r="B41" t="str">
        <f>Sheet1!B41</f>
        <v>BOGOR</v>
      </c>
      <c r="C41" t="str">
        <f>Sheet1!C41</f>
        <v>MAD LOMRI</v>
      </c>
      <c r="D41" t="str">
        <f>Sheet1!D41</f>
        <v>ODRNO2607030097</v>
      </c>
      <c r="E41" t="str">
        <f>Sheet1!E41</f>
        <v>812PRS20260701269</v>
      </c>
      <c r="F41" t="str">
        <f>Sheet1!F41</f>
        <v>Sales Agent (SA)</v>
      </c>
      <c r="G41" t="str">
        <f>Sheet1!G41</f>
        <v>8121022600022</v>
      </c>
      <c r="H41" t="str">
        <f>Sheet1!H41</f>
        <v>812APP20260700008</v>
      </c>
      <c r="I41" t="str">
        <f>Sheet1!I41</f>
        <v>EKA SUNARYO</v>
      </c>
      <c r="J41" s="2">
        <f>Sheet1!K41</f>
        <v>46206.5309178241</v>
      </c>
      <c r="K41" s="2">
        <f>Sheet1!L41</f>
        <v>46208.943037696801</v>
      </c>
      <c r="L41" t="str">
        <f>Sheet1!M41</f>
        <v>Go Live</v>
      </c>
      <c r="M41" t="str">
        <f>Sheet1!P41</f>
        <v>TOYOTA</v>
      </c>
      <c r="N41" t="str">
        <f>Sheet1!Q41</f>
        <v>2014</v>
      </c>
      <c r="O41">
        <f>Sheet1!AB41</f>
        <v>60919000</v>
      </c>
      <c r="P41" s="2">
        <f>Sheet1!AD41</f>
        <v>46207</v>
      </c>
      <c r="Q41" t="str">
        <f>Sheet1!AI41</f>
        <v>HERI CAHYADI-0726007</v>
      </c>
      <c r="R41" t="str">
        <f>Sheet1!AJ41</f>
        <v/>
      </c>
      <c r="S41" t="str">
        <f>Sheet1!AK41</f>
        <v>Golive</v>
      </c>
      <c r="T41" t="str">
        <f>Sheet1!AL41</f>
        <v>SA</v>
      </c>
      <c r="U41" t="str">
        <f t="shared" si="0"/>
        <v>Done Survey</v>
      </c>
    </row>
    <row r="42" spans="1:21" x14ac:dyDescent="0.25">
      <c r="A42">
        <f>Sheet1!A42</f>
        <v>41</v>
      </c>
      <c r="B42" t="str">
        <f>Sheet1!B42</f>
        <v>LAMPUNG</v>
      </c>
      <c r="C42" t="str">
        <f>Sheet1!C42</f>
        <v>dedi hartono</v>
      </c>
      <c r="D42" t="str">
        <f>Sheet1!D42</f>
        <v>ODRNO2607030160</v>
      </c>
      <c r="E42" t="str">
        <f>Sheet1!E42</f>
        <v>810PRS20260700664</v>
      </c>
      <c r="F42" t="str">
        <f>Sheet1!F42</f>
        <v>Sales Agent (SA)</v>
      </c>
      <c r="G42">
        <f>Sheet1!G42</f>
        <v>0</v>
      </c>
      <c r="H42">
        <f>Sheet1!H42</f>
        <v>0</v>
      </c>
      <c r="I42" t="str">
        <f>Sheet1!I42</f>
        <v>AZWAN</v>
      </c>
      <c r="J42" s="2">
        <f>Sheet1!K42</f>
        <v>46206.631762696801</v>
      </c>
      <c r="K42" s="2">
        <f>Sheet1!L42</f>
        <v>46215.333346909698</v>
      </c>
      <c r="L42" t="str">
        <f>Sheet1!M42</f>
        <v>Prospect Cancel</v>
      </c>
      <c r="M42" t="str">
        <f>Sheet1!P42</f>
        <v>DAIHATSU</v>
      </c>
      <c r="N42" t="str">
        <f>Sheet1!Q42</f>
        <v>2019</v>
      </c>
      <c r="O42">
        <f>Sheet1!AB42</f>
        <v>0</v>
      </c>
      <c r="P42" s="2">
        <f>Sheet1!AD42</f>
        <v>0</v>
      </c>
      <c r="Q42" t="str">
        <f>Sheet1!AI42</f>
        <v>REGY YUDHISTIRA BRILLIAN-126176</v>
      </c>
      <c r="R42" t="str">
        <f>Sheet1!AJ42</f>
        <v/>
      </c>
      <c r="S42" t="str">
        <f>Sheet1!AK42</f>
        <v>Cancel</v>
      </c>
      <c r="T42" t="str">
        <f>Sheet1!AL42</f>
        <v>SA</v>
      </c>
      <c r="U42">
        <f t="shared" si="0"/>
        <v>0</v>
      </c>
    </row>
    <row r="43" spans="1:21" x14ac:dyDescent="0.25">
      <c r="A43">
        <f>Sheet1!A43</f>
        <v>42</v>
      </c>
      <c r="B43" t="str">
        <f>Sheet1!B43</f>
        <v>LAMPUNG</v>
      </c>
      <c r="C43" t="str">
        <f>Sheet1!C43</f>
        <v>lorensia</v>
      </c>
      <c r="D43" t="str">
        <f>Sheet1!D43</f>
        <v>ODRNO2607030183</v>
      </c>
      <c r="E43" t="str">
        <f>Sheet1!E43</f>
        <v>810PRS20260700665</v>
      </c>
      <c r="F43" t="str">
        <f>Sheet1!F43</f>
        <v>Sales Agent (SA)</v>
      </c>
      <c r="G43">
        <f>Sheet1!G43</f>
        <v>0</v>
      </c>
      <c r="H43" t="str">
        <f>Sheet1!H43</f>
        <v>810APP20260700006</v>
      </c>
      <c r="I43" t="str">
        <f>Sheet1!I43</f>
        <v>AZWAN</v>
      </c>
      <c r="J43" s="2">
        <f>Sheet1!K43</f>
        <v>46206.725190705998</v>
      </c>
      <c r="K43" s="2">
        <f>Sheet1!L43</f>
        <v>46210.715543136597</v>
      </c>
      <c r="L43" t="str">
        <f>Sheet1!M43</f>
        <v>Return Handling</v>
      </c>
      <c r="M43" t="str">
        <f>Sheet1!P43</f>
        <v>TOYOTA</v>
      </c>
      <c r="N43" t="str">
        <f>Sheet1!Q43</f>
        <v>2018</v>
      </c>
      <c r="O43">
        <f>Sheet1!AB43</f>
        <v>0</v>
      </c>
      <c r="P43" s="2">
        <f>Sheet1!AD43</f>
        <v>46210</v>
      </c>
      <c r="Q43" t="str">
        <f>Sheet1!AI43</f>
        <v>BARRON NUGROHO AL AMIN-126016</v>
      </c>
      <c r="R43" t="str">
        <f>Sheet1!AJ43</f>
        <v/>
      </c>
      <c r="S43" t="str">
        <f>Sheet1!AK43</f>
        <v>In Proses</v>
      </c>
      <c r="T43" t="str">
        <f>Sheet1!AL43</f>
        <v>SA</v>
      </c>
      <c r="U43" t="str">
        <f t="shared" si="0"/>
        <v>Done Survey</v>
      </c>
    </row>
    <row r="44" spans="1:21" x14ac:dyDescent="0.25">
      <c r="A44">
        <f>Sheet1!A44</f>
        <v>43</v>
      </c>
      <c r="B44" t="str">
        <f>Sheet1!B44</f>
        <v>MEDAN DUA</v>
      </c>
      <c r="C44" t="str">
        <f>Sheet1!C44</f>
        <v>ANGGUN SURYA</v>
      </c>
      <c r="D44" t="str">
        <f>Sheet1!D44</f>
        <v>ODRNO2607030078</v>
      </c>
      <c r="E44" t="str">
        <f>Sheet1!E44</f>
        <v>839PRS20260700871</v>
      </c>
      <c r="F44" t="str">
        <f>Sheet1!F44</f>
        <v>Telemarketing Program</v>
      </c>
      <c r="G44" t="str">
        <f>Sheet1!G44</f>
        <v>8391032600016</v>
      </c>
      <c r="H44" t="str">
        <f>Sheet1!H44</f>
        <v>839APP20260700008</v>
      </c>
      <c r="I44" t="str">
        <f>Sheet1!I44</f>
        <v>WASTO SIHOMBING</v>
      </c>
      <c r="J44" s="2">
        <f>Sheet1!K44</f>
        <v>46206.469744016198</v>
      </c>
      <c r="K44" s="2">
        <f>Sheet1!L44</f>
        <v>46207.7738944792</v>
      </c>
      <c r="L44" t="str">
        <f>Sheet1!M44</f>
        <v>Go Live</v>
      </c>
      <c r="M44" t="str">
        <f>Sheet1!P44</f>
        <v>TOYOTA</v>
      </c>
      <c r="N44" t="str">
        <f>Sheet1!Q44</f>
        <v>2021</v>
      </c>
      <c r="O44">
        <f>Sheet1!AB44</f>
        <v>166122000</v>
      </c>
      <c r="P44" s="2">
        <f>Sheet1!AD44</f>
        <v>46207</v>
      </c>
      <c r="Q44">
        <f>Sheet1!AI44</f>
        <v>0</v>
      </c>
      <c r="R44">
        <f>Sheet1!AJ44</f>
        <v>0</v>
      </c>
      <c r="S44" t="str">
        <f>Sheet1!AK44</f>
        <v>Golive</v>
      </c>
      <c r="T44" t="str">
        <f>Sheet1!AL44</f>
        <v>Tele</v>
      </c>
      <c r="U44" t="str">
        <f t="shared" si="0"/>
        <v>Done Survey</v>
      </c>
    </row>
    <row r="45" spans="1:21" x14ac:dyDescent="0.25">
      <c r="A45">
        <f>Sheet1!A45</f>
        <v>44</v>
      </c>
      <c r="B45" t="str">
        <f>Sheet1!B45</f>
        <v>MEDAN DUA</v>
      </c>
      <c r="C45" t="str">
        <f>Sheet1!C45</f>
        <v>LINDA SOLIANTI SIHOTANG</v>
      </c>
      <c r="D45" t="str">
        <f>Sheet1!D45</f>
        <v>ODRNO2607030132</v>
      </c>
      <c r="E45" t="str">
        <f>Sheet1!E45</f>
        <v>839PRS20260700872</v>
      </c>
      <c r="F45" t="str">
        <f>Sheet1!F45</f>
        <v>Sales Agent (SA)</v>
      </c>
      <c r="G45">
        <f>Sheet1!G45</f>
        <v>0</v>
      </c>
      <c r="H45">
        <f>Sheet1!H45</f>
        <v>0</v>
      </c>
      <c r="I45" t="str">
        <f>Sheet1!I45</f>
        <v>WASTO SIHOMBING</v>
      </c>
      <c r="J45" s="2">
        <f>Sheet1!K45</f>
        <v>46206.584885648102</v>
      </c>
      <c r="K45" s="2">
        <f>Sheet1!L45</f>
        <v>46215.333346909698</v>
      </c>
      <c r="L45" t="str">
        <f>Sheet1!M45</f>
        <v>Prospect Cancel</v>
      </c>
      <c r="M45" t="str">
        <f>Sheet1!P45</f>
        <v>TOYOTA</v>
      </c>
      <c r="N45" t="str">
        <f>Sheet1!Q45</f>
        <v>2019</v>
      </c>
      <c r="O45">
        <f>Sheet1!AB45</f>
        <v>0</v>
      </c>
      <c r="P45" s="2">
        <f>Sheet1!AD45</f>
        <v>0</v>
      </c>
      <c r="Q45" t="str">
        <f>Sheet1!AI45</f>
        <v>HERRY BUDIANTO MANULLANG-126401</v>
      </c>
      <c r="R45" t="str">
        <f>Sheet1!AJ45</f>
        <v/>
      </c>
      <c r="S45" t="str">
        <f>Sheet1!AK45</f>
        <v>Cancel</v>
      </c>
      <c r="T45" t="str">
        <f>Sheet1!AL45</f>
        <v>SA</v>
      </c>
      <c r="U45">
        <f t="shared" si="0"/>
        <v>0</v>
      </c>
    </row>
    <row r="46" spans="1:21" x14ac:dyDescent="0.25">
      <c r="A46">
        <f>Sheet1!A46</f>
        <v>45</v>
      </c>
      <c r="B46" t="str">
        <f>Sheet1!B46</f>
        <v>PALANGKARAYA</v>
      </c>
      <c r="C46" t="str">
        <f>Sheet1!C46</f>
        <v>KAMSINI</v>
      </c>
      <c r="D46" t="str">
        <f>Sheet1!D46</f>
        <v>ODRNO2607030158</v>
      </c>
      <c r="E46" t="str">
        <f>Sheet1!E46</f>
        <v>829PRS20260701778</v>
      </c>
      <c r="F46" t="str">
        <f>Sheet1!F46</f>
        <v>Sales Agent (SA)</v>
      </c>
      <c r="G46" t="str">
        <f>Sheet1!G46</f>
        <v>8291032600005</v>
      </c>
      <c r="H46" t="str">
        <f>Sheet1!H46</f>
        <v>829APP20260700028</v>
      </c>
      <c r="I46" t="str">
        <f>Sheet1!I46</f>
        <v>RUSDHY</v>
      </c>
      <c r="J46" s="2">
        <f>Sheet1!K46</f>
        <v>46206.627931979201</v>
      </c>
      <c r="K46" s="2">
        <f>Sheet1!L46</f>
        <v>46219.470652349497</v>
      </c>
      <c r="L46" t="str">
        <f>Sheet1!M46</f>
        <v>Go Live</v>
      </c>
      <c r="M46" t="str">
        <f>Sheet1!P46</f>
        <v>DAIHATSU</v>
      </c>
      <c r="N46" t="str">
        <f>Sheet1!Q46</f>
        <v>2013</v>
      </c>
      <c r="O46">
        <f>Sheet1!AB46</f>
        <v>51174000</v>
      </c>
      <c r="P46" s="2">
        <f>Sheet1!AD46</f>
        <v>46217</v>
      </c>
      <c r="Q46" t="str">
        <f>Sheet1!AI46</f>
        <v>HERIYADI-326036</v>
      </c>
      <c r="R46" t="str">
        <f>Sheet1!AJ46</f>
        <v/>
      </c>
      <c r="S46" t="str">
        <f>Sheet1!AK46</f>
        <v>Golive</v>
      </c>
      <c r="T46" t="str">
        <f>Sheet1!AL46</f>
        <v>SA</v>
      </c>
      <c r="U46" t="str">
        <f t="shared" si="0"/>
        <v>Done Survey</v>
      </c>
    </row>
    <row r="47" spans="1:21" x14ac:dyDescent="0.25">
      <c r="A47">
        <f>Sheet1!A47</f>
        <v>46</v>
      </c>
      <c r="B47" t="str">
        <f>Sheet1!B47</f>
        <v>PEKANBARU</v>
      </c>
      <c r="C47" t="str">
        <f>Sheet1!C47</f>
        <v>JHON SEFRI</v>
      </c>
      <c r="D47" t="str">
        <f>Sheet1!D47</f>
        <v>ODRNO2607030212</v>
      </c>
      <c r="E47" t="str">
        <f>Sheet1!E47</f>
        <v>805PRS20260702494</v>
      </c>
      <c r="F47" t="str">
        <f>Sheet1!F47</f>
        <v>Sales Agent (SA)</v>
      </c>
      <c r="G47" t="str">
        <f>Sheet1!G47</f>
        <v>8051032600016</v>
      </c>
      <c r="H47" t="str">
        <f>Sheet1!H47</f>
        <v>805APP20260700038</v>
      </c>
      <c r="I47" t="str">
        <f>Sheet1!I47</f>
        <v>MUHAMMAD RIDWAN</v>
      </c>
      <c r="J47" s="2">
        <f>Sheet1!K47</f>
        <v>46206.909279826403</v>
      </c>
      <c r="K47" s="2">
        <f>Sheet1!L47</f>
        <v>46217.664339270799</v>
      </c>
      <c r="L47" t="str">
        <f>Sheet1!M47</f>
        <v>Go Live</v>
      </c>
      <c r="M47" t="str">
        <f>Sheet1!P47</f>
        <v>MITSUBISHI</v>
      </c>
      <c r="N47" t="str">
        <f>Sheet1!Q47</f>
        <v>2019</v>
      </c>
      <c r="O47">
        <f>Sheet1!AB47</f>
        <v>328800140</v>
      </c>
      <c r="P47" s="2">
        <f>Sheet1!AD47</f>
        <v>46216</v>
      </c>
      <c r="Q47" t="str">
        <f>Sheet1!AI47</f>
        <v>DIMAS PAUNDRA-226040</v>
      </c>
      <c r="R47" t="str">
        <f>Sheet1!AJ47</f>
        <v/>
      </c>
      <c r="S47" t="str">
        <f>Sheet1!AK47</f>
        <v>Golive</v>
      </c>
      <c r="T47" t="str">
        <f>Sheet1!AL47</f>
        <v>SA</v>
      </c>
      <c r="U47" t="str">
        <f t="shared" si="0"/>
        <v>Done Survey</v>
      </c>
    </row>
    <row r="48" spans="1:21" x14ac:dyDescent="0.25">
      <c r="A48">
        <f>Sheet1!A48</f>
        <v>47</v>
      </c>
      <c r="B48" t="str">
        <f>Sheet1!B48</f>
        <v>SEMARANG</v>
      </c>
      <c r="C48" t="str">
        <f>Sheet1!C48</f>
        <v>DWI PRIHANTO SIK</v>
      </c>
      <c r="D48" t="str">
        <f>Sheet1!D48</f>
        <v>ODRNO2607030012</v>
      </c>
      <c r="E48" t="str">
        <f>Sheet1!E48</f>
        <v>816PRS20260700603</v>
      </c>
      <c r="F48" t="str">
        <f>Sheet1!F48</f>
        <v>Sales Agent (SA)</v>
      </c>
      <c r="G48">
        <f>Sheet1!G48</f>
        <v>0</v>
      </c>
      <c r="H48">
        <f>Sheet1!H48</f>
        <v>0</v>
      </c>
      <c r="I48" t="str">
        <f>Sheet1!I48</f>
        <v>SIGIT SUBEKTI</v>
      </c>
      <c r="J48" s="2">
        <f>Sheet1!K48</f>
        <v>46206.323864432903</v>
      </c>
      <c r="K48" s="2">
        <f>Sheet1!L48</f>
        <v>46214.333341782403</v>
      </c>
      <c r="L48" t="str">
        <f>Sheet1!M48</f>
        <v>Prospect Cancel</v>
      </c>
      <c r="M48" t="str">
        <f>Sheet1!P48</f>
        <v>HONDA</v>
      </c>
      <c r="N48" t="str">
        <f>Sheet1!Q48</f>
        <v>2023</v>
      </c>
      <c r="O48">
        <f>Sheet1!AB48</f>
        <v>0</v>
      </c>
      <c r="P48" s="2">
        <f>Sheet1!AD48</f>
        <v>0</v>
      </c>
      <c r="Q48" t="str">
        <f>Sheet1!AI48</f>
        <v>PUNTA WIJAYANTO-226058</v>
      </c>
      <c r="R48" t="str">
        <f>Sheet1!AJ48</f>
        <v/>
      </c>
      <c r="S48" t="str">
        <f>Sheet1!AK48</f>
        <v>Cancel</v>
      </c>
      <c r="T48" t="str">
        <f>Sheet1!AL48</f>
        <v>SA</v>
      </c>
      <c r="U48">
        <f t="shared" si="0"/>
        <v>0</v>
      </c>
    </row>
    <row r="49" spans="1:21" x14ac:dyDescent="0.25">
      <c r="A49">
        <f>Sheet1!A49</f>
        <v>48</v>
      </c>
      <c r="B49" t="str">
        <f>Sheet1!B49</f>
        <v>SEMARANG</v>
      </c>
      <c r="C49" t="str">
        <f>Sheet1!C49</f>
        <v>DWI PRIHANTO SIK</v>
      </c>
      <c r="D49" t="str">
        <f>Sheet1!D49</f>
        <v>ODRNO2607030184</v>
      </c>
      <c r="E49" t="str">
        <f>Sheet1!E49</f>
        <v>816PRS20260700605</v>
      </c>
      <c r="F49" t="str">
        <f>Sheet1!F49</f>
        <v>Sales Agent (SA)</v>
      </c>
      <c r="G49" t="str">
        <f>Sheet1!G49</f>
        <v>8161022600002</v>
      </c>
      <c r="H49" t="str">
        <f>Sheet1!H49</f>
        <v>816APP20260700018</v>
      </c>
      <c r="I49" t="str">
        <f>Sheet1!I49</f>
        <v>SIGIT SUBEKTI</v>
      </c>
      <c r="J49" s="2">
        <f>Sheet1!K49</f>
        <v>46206.730035381901</v>
      </c>
      <c r="K49" s="2">
        <f>Sheet1!L49</f>
        <v>46212.491473958296</v>
      </c>
      <c r="L49" t="str">
        <f>Sheet1!M49</f>
        <v>Go Live</v>
      </c>
      <c r="M49" t="str">
        <f>Sheet1!P49</f>
        <v>HONDA</v>
      </c>
      <c r="N49" t="str">
        <f>Sheet1!Q49</f>
        <v>2020</v>
      </c>
      <c r="O49">
        <f>Sheet1!AB49</f>
        <v>167258388</v>
      </c>
      <c r="P49" s="2">
        <f>Sheet1!AD49</f>
        <v>46209</v>
      </c>
      <c r="Q49" t="str">
        <f>Sheet1!AI49</f>
        <v>ARDIAN KUSUMA ATMAJA-0726004</v>
      </c>
      <c r="R49" t="str">
        <f>Sheet1!AJ49</f>
        <v/>
      </c>
      <c r="S49" t="str">
        <f>Sheet1!AK49</f>
        <v>Golive</v>
      </c>
      <c r="T49" t="str">
        <f>Sheet1!AL49</f>
        <v>SA</v>
      </c>
      <c r="U49" t="str">
        <f t="shared" si="0"/>
        <v>Done Survey</v>
      </c>
    </row>
    <row r="50" spans="1:21" x14ac:dyDescent="0.25">
      <c r="A50">
        <f>Sheet1!A50</f>
        <v>49</v>
      </c>
      <c r="B50" t="str">
        <f>Sheet1!B50</f>
        <v>BANDUNG</v>
      </c>
      <c r="C50" t="str">
        <f>Sheet1!C50</f>
        <v>NINA NURFIAH</v>
      </c>
      <c r="D50" t="str">
        <f>Sheet1!D50</f>
        <v>ODRNO2607040078</v>
      </c>
      <c r="E50" t="str">
        <f>Sheet1!E50</f>
        <v>813PRS20260705102</v>
      </c>
      <c r="F50" t="str">
        <f>Sheet1!F50</f>
        <v>Sales Agent (SA)</v>
      </c>
      <c r="G50">
        <f>Sheet1!G50</f>
        <v>0</v>
      </c>
      <c r="H50">
        <f>Sheet1!H50</f>
        <v>0</v>
      </c>
      <c r="I50" t="str">
        <f>Sheet1!I50</f>
        <v>RAMDHAN FIRMANSYAH</v>
      </c>
      <c r="J50" s="2">
        <f>Sheet1!K50</f>
        <v>46207.484438506901</v>
      </c>
      <c r="K50" s="2">
        <f>Sheet1!L50</f>
        <v>46215.333346909698</v>
      </c>
      <c r="L50" t="str">
        <f>Sheet1!M50</f>
        <v>Prospect Cancel</v>
      </c>
      <c r="M50" t="str">
        <f>Sheet1!P50</f>
        <v>TOYOTA</v>
      </c>
      <c r="N50" t="str">
        <f>Sheet1!Q50</f>
        <v>2013</v>
      </c>
      <c r="O50">
        <f>Sheet1!AB50</f>
        <v>0</v>
      </c>
      <c r="P50" s="2">
        <f>Sheet1!AD50</f>
        <v>0</v>
      </c>
      <c r="Q50" t="str">
        <f>Sheet1!AI50</f>
        <v>ARIS YULIANSYAH HILMAN-126175</v>
      </c>
      <c r="R50" t="str">
        <f>Sheet1!AJ50</f>
        <v/>
      </c>
      <c r="S50" t="str">
        <f>Sheet1!AK50</f>
        <v>Cancel</v>
      </c>
      <c r="T50" t="str">
        <f>Sheet1!AL50</f>
        <v>SA</v>
      </c>
      <c r="U50">
        <f t="shared" si="0"/>
        <v>0</v>
      </c>
    </row>
    <row r="51" spans="1:21" x14ac:dyDescent="0.25">
      <c r="A51">
        <f>Sheet1!A51</f>
        <v>50</v>
      </c>
      <c r="B51" t="str">
        <f>Sheet1!B51</f>
        <v>BANDUNG</v>
      </c>
      <c r="C51" t="str">
        <f>Sheet1!C51</f>
        <v>Adi Maulana Malik</v>
      </c>
      <c r="D51" t="str">
        <f>Sheet1!D51</f>
        <v>ODRNO2607040106</v>
      </c>
      <c r="E51" t="str">
        <f>Sheet1!E51</f>
        <v>813PRS20260705107</v>
      </c>
      <c r="F51" t="str">
        <f>Sheet1!F51</f>
        <v>Sales Agent (SA)</v>
      </c>
      <c r="G51">
        <f>Sheet1!G51</f>
        <v>0</v>
      </c>
      <c r="H51">
        <f>Sheet1!H51</f>
        <v>0</v>
      </c>
      <c r="I51" t="str">
        <f>Sheet1!I51</f>
        <v>RISKI DALNI</v>
      </c>
      <c r="J51" s="2">
        <f>Sheet1!K51</f>
        <v>46207.543365046302</v>
      </c>
      <c r="K51" s="2">
        <f>Sheet1!L51</f>
        <v>46215.333346909698</v>
      </c>
      <c r="L51" t="str">
        <f>Sheet1!M51</f>
        <v>Prospect Cancel</v>
      </c>
      <c r="M51" t="str">
        <f>Sheet1!P51</f>
        <v>MITSUBISHI</v>
      </c>
      <c r="N51" t="str">
        <f>Sheet1!Q51</f>
        <v>2018</v>
      </c>
      <c r="O51">
        <f>Sheet1!AB51</f>
        <v>0</v>
      </c>
      <c r="P51" s="2">
        <f>Sheet1!AD51</f>
        <v>0</v>
      </c>
      <c r="Q51" t="str">
        <f>Sheet1!AI51</f>
        <v>RONI PERMANA-0626041</v>
      </c>
      <c r="R51" t="str">
        <f>Sheet1!AJ51</f>
        <v/>
      </c>
      <c r="S51" t="str">
        <f>Sheet1!AK51</f>
        <v>Cancel</v>
      </c>
      <c r="T51" t="str">
        <f>Sheet1!AL51</f>
        <v>SA</v>
      </c>
      <c r="U51">
        <f t="shared" si="0"/>
        <v>0</v>
      </c>
    </row>
    <row r="52" spans="1:21" x14ac:dyDescent="0.25">
      <c r="A52">
        <f>Sheet1!A52</f>
        <v>51</v>
      </c>
      <c r="B52" t="str">
        <f>Sheet1!B52</f>
        <v>BANDUNG</v>
      </c>
      <c r="C52" t="str">
        <f>Sheet1!C52</f>
        <v>Edwin Pahala Silaban</v>
      </c>
      <c r="D52" t="str">
        <f>Sheet1!D52</f>
        <v>ODRNO2607040110</v>
      </c>
      <c r="E52" t="str">
        <f>Sheet1!E52</f>
        <v>813PRS20260705108</v>
      </c>
      <c r="F52" t="str">
        <f>Sheet1!F52</f>
        <v>Sales Agent (SA)</v>
      </c>
      <c r="G52">
        <f>Sheet1!G52</f>
        <v>0</v>
      </c>
      <c r="H52">
        <f>Sheet1!H52</f>
        <v>0</v>
      </c>
      <c r="I52" t="str">
        <f>Sheet1!I52</f>
        <v>RISKI DALNI</v>
      </c>
      <c r="J52" s="2">
        <f>Sheet1!K52</f>
        <v>46207.547408680599</v>
      </c>
      <c r="K52" s="2">
        <f>Sheet1!L52</f>
        <v>46215.333346909698</v>
      </c>
      <c r="L52" t="str">
        <f>Sheet1!M52</f>
        <v>Prospect Cancel</v>
      </c>
      <c r="M52" t="str">
        <f>Sheet1!P52</f>
        <v>MITSUBISHI</v>
      </c>
      <c r="N52" t="str">
        <f>Sheet1!Q52</f>
        <v>2022</v>
      </c>
      <c r="O52">
        <f>Sheet1!AB52</f>
        <v>0</v>
      </c>
      <c r="P52" s="2">
        <f>Sheet1!AD52</f>
        <v>0</v>
      </c>
      <c r="Q52" t="str">
        <f>Sheet1!AI52</f>
        <v>AHMAD ZAENI-0626025</v>
      </c>
      <c r="R52" t="str">
        <f>Sheet1!AJ52</f>
        <v/>
      </c>
      <c r="S52" t="str">
        <f>Sheet1!AK52</f>
        <v>Cancel</v>
      </c>
      <c r="T52" t="str">
        <f>Sheet1!AL52</f>
        <v>SA</v>
      </c>
      <c r="U52">
        <f t="shared" si="0"/>
        <v>0</v>
      </c>
    </row>
    <row r="53" spans="1:21" x14ac:dyDescent="0.25">
      <c r="A53">
        <f>Sheet1!A53</f>
        <v>52</v>
      </c>
      <c r="B53" t="str">
        <f>Sheet1!B53</f>
        <v>BOGOR</v>
      </c>
      <c r="C53" t="str">
        <f>Sheet1!C53</f>
        <v>ABA SURDI</v>
      </c>
      <c r="D53" t="str">
        <f>Sheet1!D53</f>
        <v>ODRNO2607040047</v>
      </c>
      <c r="E53" t="str">
        <f>Sheet1!E53</f>
        <v>812PRS20260701276</v>
      </c>
      <c r="F53" t="str">
        <f>Sheet1!F53</f>
        <v>Sales Agent (SA)</v>
      </c>
      <c r="G53">
        <f>Sheet1!G53</f>
        <v>0</v>
      </c>
      <c r="H53">
        <f>Sheet1!H53</f>
        <v>0</v>
      </c>
      <c r="I53" t="str">
        <f>Sheet1!I53</f>
        <v>SENJAYA BUDIMAN</v>
      </c>
      <c r="J53" s="2">
        <f>Sheet1!K53</f>
        <v>46207.399809606497</v>
      </c>
      <c r="K53" s="2">
        <f>Sheet1!L53</f>
        <v>46215.333346909698</v>
      </c>
      <c r="L53" t="str">
        <f>Sheet1!M53</f>
        <v>Prospect Cancel</v>
      </c>
      <c r="M53" t="str">
        <f>Sheet1!P53</f>
        <v>TOYOTA</v>
      </c>
      <c r="N53" t="str">
        <f>Sheet1!Q53</f>
        <v>2016</v>
      </c>
      <c r="O53">
        <f>Sheet1!AB53</f>
        <v>0</v>
      </c>
      <c r="P53" s="2">
        <f>Sheet1!AD53</f>
        <v>0</v>
      </c>
      <c r="Q53" t="str">
        <f>Sheet1!AI53</f>
        <v>ADI SUTEJO SE-526006</v>
      </c>
      <c r="R53" t="str">
        <f>Sheet1!AJ53</f>
        <v/>
      </c>
      <c r="S53" t="str">
        <f>Sheet1!AK53</f>
        <v>Cancel</v>
      </c>
      <c r="T53" t="str">
        <f>Sheet1!AL53</f>
        <v>SA</v>
      </c>
      <c r="U53">
        <f t="shared" si="0"/>
        <v>0</v>
      </c>
    </row>
    <row r="54" spans="1:21" x14ac:dyDescent="0.25">
      <c r="A54">
        <f>Sheet1!A54</f>
        <v>53</v>
      </c>
      <c r="B54" t="str">
        <f>Sheet1!B54</f>
        <v>LAMPUNG</v>
      </c>
      <c r="C54" t="str">
        <f>Sheet1!C54</f>
        <v>darmanto</v>
      </c>
      <c r="D54" t="str">
        <f>Sheet1!D54</f>
        <v>ODRNO2607040076</v>
      </c>
      <c r="E54" t="str">
        <f>Sheet1!E54</f>
        <v>810PRS20260700668</v>
      </c>
      <c r="F54" t="str">
        <f>Sheet1!F54</f>
        <v>Sales Agent (SA)</v>
      </c>
      <c r="G54">
        <f>Sheet1!G54</f>
        <v>0</v>
      </c>
      <c r="H54">
        <f>Sheet1!H54</f>
        <v>0</v>
      </c>
      <c r="I54" t="str">
        <f>Sheet1!I54</f>
        <v>AZWAN</v>
      </c>
      <c r="J54" s="2">
        <f>Sheet1!K54</f>
        <v>46207.473226423601</v>
      </c>
      <c r="K54" s="2">
        <f>Sheet1!L54</f>
        <v>46216.333349918998</v>
      </c>
      <c r="L54" t="str">
        <f>Sheet1!M54</f>
        <v>Prospect Cancel</v>
      </c>
      <c r="M54" t="str">
        <f>Sheet1!P54</f>
        <v>MITSUBISHI</v>
      </c>
      <c r="N54" t="str">
        <f>Sheet1!Q54</f>
        <v>2018</v>
      </c>
      <c r="O54">
        <f>Sheet1!AB54</f>
        <v>0</v>
      </c>
      <c r="P54" s="2">
        <f>Sheet1!AD54</f>
        <v>0</v>
      </c>
      <c r="Q54" t="str">
        <f>Sheet1!AI54</f>
        <v>SAMSUL MUNIR-126015</v>
      </c>
      <c r="R54" t="str">
        <f>Sheet1!AJ54</f>
        <v/>
      </c>
      <c r="S54" t="str">
        <f>Sheet1!AK54</f>
        <v>Cancel</v>
      </c>
      <c r="T54" t="str">
        <f>Sheet1!AL54</f>
        <v>SA</v>
      </c>
      <c r="U54">
        <f t="shared" si="0"/>
        <v>0</v>
      </c>
    </row>
    <row r="55" spans="1:21" x14ac:dyDescent="0.25">
      <c r="A55">
        <f>Sheet1!A55</f>
        <v>54</v>
      </c>
      <c r="B55" t="str">
        <f>Sheet1!B55</f>
        <v>MANADO</v>
      </c>
      <c r="C55" t="str">
        <f>Sheet1!C55</f>
        <v>REGINA MARLIA DLAYA SENDUK S.Pd</v>
      </c>
      <c r="D55" t="str">
        <f>Sheet1!D55</f>
        <v>ODRNO2607040018</v>
      </c>
      <c r="E55" t="str">
        <f>Sheet1!E55</f>
        <v>828PRS20260700330</v>
      </c>
      <c r="F55" t="str">
        <f>Sheet1!F55</f>
        <v>Sales Agent (SA)</v>
      </c>
      <c r="G55">
        <f>Sheet1!G55</f>
        <v>0</v>
      </c>
      <c r="H55">
        <f>Sheet1!H55</f>
        <v>0</v>
      </c>
      <c r="I55" t="str">
        <f>Sheet1!I55</f>
        <v>BATIN E TUWUILU</v>
      </c>
      <c r="J55" s="2">
        <f>Sheet1!K55</f>
        <v>46207.352933645801</v>
      </c>
      <c r="K55" s="2">
        <f>Sheet1!L55</f>
        <v>46215.333346909698</v>
      </c>
      <c r="L55" t="str">
        <f>Sheet1!M55</f>
        <v>Prospect Cancel</v>
      </c>
      <c r="M55" t="str">
        <f>Sheet1!P55</f>
        <v>SUZUKI</v>
      </c>
      <c r="N55" t="str">
        <f>Sheet1!Q55</f>
        <v>2017</v>
      </c>
      <c r="O55">
        <f>Sheet1!AB55</f>
        <v>0</v>
      </c>
      <c r="P55" s="2">
        <f>Sheet1!AD55</f>
        <v>0</v>
      </c>
      <c r="Q55" t="str">
        <f>Sheet1!AI55</f>
        <v>FEBRIAN HIZKIA KEREH-0626050</v>
      </c>
      <c r="R55" t="str">
        <f>Sheet1!AJ55</f>
        <v/>
      </c>
      <c r="S55" t="str">
        <f>Sheet1!AK55</f>
        <v>Cancel</v>
      </c>
      <c r="T55" t="str">
        <f>Sheet1!AL55</f>
        <v>SA</v>
      </c>
      <c r="U55">
        <f t="shared" si="0"/>
        <v>0</v>
      </c>
    </row>
    <row r="56" spans="1:21" x14ac:dyDescent="0.25">
      <c r="A56">
        <f>Sheet1!A56</f>
        <v>55</v>
      </c>
      <c r="B56" t="str">
        <f>Sheet1!B56</f>
        <v>MANADO</v>
      </c>
      <c r="C56" t="str">
        <f>Sheet1!C56</f>
        <v>VALDYA PESCARA JANES BENDRI HAMEL</v>
      </c>
      <c r="D56" t="str">
        <f>Sheet1!D56</f>
        <v>ODRNO2607040023</v>
      </c>
      <c r="E56" t="str">
        <f>Sheet1!E56</f>
        <v>828PRS20260700331</v>
      </c>
      <c r="F56" t="str">
        <f>Sheet1!F56</f>
        <v>Sales Agent (SA)</v>
      </c>
      <c r="G56">
        <f>Sheet1!G56</f>
        <v>0</v>
      </c>
      <c r="H56">
        <f>Sheet1!H56</f>
        <v>0</v>
      </c>
      <c r="I56" t="str">
        <f>Sheet1!I56</f>
        <v>BATIN E TUWUILU</v>
      </c>
      <c r="J56" s="2">
        <f>Sheet1!K56</f>
        <v>46207.357343599499</v>
      </c>
      <c r="K56" s="2">
        <f>Sheet1!L56</f>
        <v>46215.333346909698</v>
      </c>
      <c r="L56" t="str">
        <f>Sheet1!M56</f>
        <v>Prospect Cancel</v>
      </c>
      <c r="M56" t="str">
        <f>Sheet1!P56</f>
        <v>DAIHATSU</v>
      </c>
      <c r="N56" t="str">
        <f>Sheet1!Q56</f>
        <v>2023</v>
      </c>
      <c r="O56">
        <f>Sheet1!AB56</f>
        <v>0</v>
      </c>
      <c r="P56" s="2">
        <f>Sheet1!AD56</f>
        <v>0</v>
      </c>
      <c r="Q56" t="str">
        <f>Sheet1!AI56</f>
        <v>FEBRIAN HIZKIA KEREH-0626050</v>
      </c>
      <c r="R56" t="str">
        <f>Sheet1!AJ56</f>
        <v/>
      </c>
      <c r="S56" t="str">
        <f>Sheet1!AK56</f>
        <v>Cancel</v>
      </c>
      <c r="T56" t="str">
        <f>Sheet1!AL56</f>
        <v>SA</v>
      </c>
      <c r="U56">
        <f t="shared" si="0"/>
        <v>0</v>
      </c>
    </row>
    <row r="57" spans="1:21" x14ac:dyDescent="0.25">
      <c r="A57">
        <f>Sheet1!A57</f>
        <v>56</v>
      </c>
      <c r="B57" t="str">
        <f>Sheet1!B57</f>
        <v>MANADO</v>
      </c>
      <c r="C57" t="str">
        <f>Sheet1!C57</f>
        <v>DECKY ROBERT NATANAEL LANTEMONA</v>
      </c>
      <c r="D57" t="str">
        <f>Sheet1!D57</f>
        <v>ODRNO2607040028</v>
      </c>
      <c r="E57" t="str">
        <f>Sheet1!E57</f>
        <v>828PRS20260700332</v>
      </c>
      <c r="F57" t="str">
        <f>Sheet1!F57</f>
        <v>Sales Agent (SA)</v>
      </c>
      <c r="G57">
        <f>Sheet1!G57</f>
        <v>0</v>
      </c>
      <c r="H57">
        <f>Sheet1!H57</f>
        <v>0</v>
      </c>
      <c r="I57" t="str">
        <f>Sheet1!I57</f>
        <v>BATIN E TUWUILU</v>
      </c>
      <c r="J57" s="2">
        <f>Sheet1!K57</f>
        <v>46207.362631446798</v>
      </c>
      <c r="K57" s="2">
        <f>Sheet1!L57</f>
        <v>46207.3792644676</v>
      </c>
      <c r="L57" t="str">
        <f>Sheet1!M57</f>
        <v>Prospect Cancel</v>
      </c>
      <c r="M57" t="str">
        <f>Sheet1!P57</f>
        <v>NISSAN</v>
      </c>
      <c r="N57" t="str">
        <f>Sheet1!Q57</f>
        <v>2021</v>
      </c>
      <c r="O57">
        <f>Sheet1!AB57</f>
        <v>0</v>
      </c>
      <c r="P57" s="2">
        <f>Sheet1!AD57</f>
        <v>0</v>
      </c>
      <c r="Q57" t="str">
        <f>Sheet1!AI57</f>
        <v>FEBRIAN HIZKIA KEREH-0626050</v>
      </c>
      <c r="R57" t="str">
        <f>Sheet1!AJ57</f>
        <v/>
      </c>
      <c r="S57" t="str">
        <f>Sheet1!AK57</f>
        <v>Cancel</v>
      </c>
      <c r="T57" t="str">
        <f>Sheet1!AL57</f>
        <v>SA</v>
      </c>
      <c r="U57">
        <f t="shared" si="0"/>
        <v>0</v>
      </c>
    </row>
    <row r="58" spans="1:21" x14ac:dyDescent="0.25">
      <c r="A58">
        <f>Sheet1!A58</f>
        <v>57</v>
      </c>
      <c r="B58" t="str">
        <f>Sheet1!B58</f>
        <v>MEDAN DUA</v>
      </c>
      <c r="C58" t="str">
        <f>Sheet1!C58</f>
        <v>VERA MANDASARI MANURUNG</v>
      </c>
      <c r="D58" t="str">
        <f>Sheet1!D58</f>
        <v>ODRNO2607040071</v>
      </c>
      <c r="E58" t="str">
        <f>Sheet1!E58</f>
        <v>839PRS20260700878</v>
      </c>
      <c r="F58" t="str">
        <f>Sheet1!F58</f>
        <v>Sales Agent (SA)</v>
      </c>
      <c r="G58">
        <f>Sheet1!G58</f>
        <v>0</v>
      </c>
      <c r="H58">
        <f>Sheet1!H58</f>
        <v>0</v>
      </c>
      <c r="I58" t="str">
        <f>Sheet1!I58</f>
        <v>WASTO SIHOMBING</v>
      </c>
      <c r="J58" s="2">
        <f>Sheet1!K58</f>
        <v>46207.466175729198</v>
      </c>
      <c r="K58" s="2">
        <f>Sheet1!L58</f>
        <v>46215.333346909698</v>
      </c>
      <c r="L58" t="str">
        <f>Sheet1!M58</f>
        <v>Prospect Cancel</v>
      </c>
      <c r="M58" t="str">
        <f>Sheet1!P58</f>
        <v>TOYOTA</v>
      </c>
      <c r="N58" t="str">
        <f>Sheet1!Q58</f>
        <v>2019</v>
      </c>
      <c r="O58">
        <f>Sheet1!AB58</f>
        <v>0</v>
      </c>
      <c r="P58" s="2">
        <f>Sheet1!AD58</f>
        <v>0</v>
      </c>
      <c r="Q58" t="str">
        <f>Sheet1!AI58</f>
        <v>HERRY BUDIANTO MANULLANG-126401</v>
      </c>
      <c r="R58" t="str">
        <f>Sheet1!AJ58</f>
        <v/>
      </c>
      <c r="S58" t="str">
        <f>Sheet1!AK58</f>
        <v>Cancel</v>
      </c>
      <c r="T58" t="str">
        <f>Sheet1!AL58</f>
        <v>SA</v>
      </c>
      <c r="U58">
        <f t="shared" si="0"/>
        <v>0</v>
      </c>
    </row>
    <row r="59" spans="1:21" x14ac:dyDescent="0.25">
      <c r="A59">
        <f>Sheet1!A59</f>
        <v>58</v>
      </c>
      <c r="B59" t="str">
        <f>Sheet1!B59</f>
        <v>SUKABUMI</v>
      </c>
      <c r="C59" t="str">
        <f>Sheet1!C59</f>
        <v>adin solahudin</v>
      </c>
      <c r="D59" t="str">
        <f>Sheet1!D59</f>
        <v>ODRNO2607040019</v>
      </c>
      <c r="E59" t="str">
        <f>Sheet1!E59</f>
        <v>841PRS20260701170</v>
      </c>
      <c r="F59" t="str">
        <f>Sheet1!F59</f>
        <v>Sales Agent (SA)</v>
      </c>
      <c r="G59">
        <f>Sheet1!G59</f>
        <v>0</v>
      </c>
      <c r="H59">
        <f>Sheet1!H59</f>
        <v>0</v>
      </c>
      <c r="I59" t="str">
        <f>Sheet1!I59</f>
        <v>BAYU SAPUTRA</v>
      </c>
      <c r="J59" s="2">
        <f>Sheet1!K59</f>
        <v>46207.353046099503</v>
      </c>
      <c r="K59" s="2">
        <f>Sheet1!L59</f>
        <v>46207.371956446797</v>
      </c>
      <c r="L59" t="str">
        <f>Sheet1!M59</f>
        <v>Prospect Cancel</v>
      </c>
      <c r="M59" t="str">
        <f>Sheet1!P59</f>
        <v>DAIHATSU</v>
      </c>
      <c r="N59" t="str">
        <f>Sheet1!Q59</f>
        <v>2014</v>
      </c>
      <c r="O59">
        <f>Sheet1!AB59</f>
        <v>0</v>
      </c>
      <c r="P59" s="2">
        <f>Sheet1!AD59</f>
        <v>0</v>
      </c>
      <c r="Q59" t="str">
        <f>Sheet1!AI59</f>
        <v>A A GEDE BAGUS PUTRA WIRAWAN-0626024</v>
      </c>
      <c r="R59" t="str">
        <f>Sheet1!AJ59</f>
        <v/>
      </c>
      <c r="S59" t="str">
        <f>Sheet1!AK59</f>
        <v>Cancel</v>
      </c>
      <c r="T59" t="str">
        <f>Sheet1!AL59</f>
        <v>SA</v>
      </c>
      <c r="U59">
        <f t="shared" si="0"/>
        <v>0</v>
      </c>
    </row>
    <row r="60" spans="1:21" x14ac:dyDescent="0.25">
      <c r="A60">
        <f>Sheet1!A60</f>
        <v>59</v>
      </c>
      <c r="B60" t="str">
        <f>Sheet1!B60</f>
        <v>BEKASI</v>
      </c>
      <c r="C60" t="str">
        <f>Sheet1!C60</f>
        <v>SENSWEDY</v>
      </c>
      <c r="D60" t="str">
        <f>Sheet1!D60</f>
        <v>ODRNO2607050019</v>
      </c>
      <c r="E60" t="str">
        <f>Sheet1!E60</f>
        <v>811PRS20260704545</v>
      </c>
      <c r="F60" t="str">
        <f>Sheet1!F60</f>
        <v>Sales Agent (SA)</v>
      </c>
      <c r="G60">
        <f>Sheet1!G60</f>
        <v>0</v>
      </c>
      <c r="H60">
        <f>Sheet1!H60</f>
        <v>0</v>
      </c>
      <c r="I60" t="str">
        <f>Sheet1!I60</f>
        <v>KURNIAWAN ARIBOWO</v>
      </c>
      <c r="J60" s="2">
        <f>Sheet1!K60</f>
        <v>46208.494431018502</v>
      </c>
      <c r="K60" s="2">
        <f>Sheet1!L60</f>
        <v>46208.746929548601</v>
      </c>
      <c r="L60" t="str">
        <f>Sheet1!M60</f>
        <v>Prospect Cancel</v>
      </c>
      <c r="M60" t="str">
        <f>Sheet1!P60</f>
        <v>TOYOTA</v>
      </c>
      <c r="N60" t="str">
        <f>Sheet1!Q60</f>
        <v>2018</v>
      </c>
      <c r="O60">
        <f>Sheet1!AB60</f>
        <v>0</v>
      </c>
      <c r="P60" s="2">
        <f>Sheet1!AD60</f>
        <v>0</v>
      </c>
      <c r="Q60" t="str">
        <f>Sheet1!AI60</f>
        <v>MUHAMAD ILYAS-526007</v>
      </c>
      <c r="R60" t="str">
        <f>Sheet1!AJ60</f>
        <v/>
      </c>
      <c r="S60" t="str">
        <f>Sheet1!AK60</f>
        <v>Cancel</v>
      </c>
      <c r="T60" t="str">
        <f>Sheet1!AL60</f>
        <v>SA</v>
      </c>
      <c r="U60">
        <f t="shared" si="0"/>
        <v>0</v>
      </c>
    </row>
    <row r="61" spans="1:21" x14ac:dyDescent="0.25">
      <c r="A61">
        <f>Sheet1!A61</f>
        <v>60</v>
      </c>
      <c r="B61" t="str">
        <f>Sheet1!B61</f>
        <v>ALAM SUTERA</v>
      </c>
      <c r="C61" t="str">
        <f>Sheet1!C61</f>
        <v>GREGORIUS ALAM</v>
      </c>
      <c r="D61" t="str">
        <f>Sheet1!D61</f>
        <v>ODRNO2607060275</v>
      </c>
      <c r="E61" t="str">
        <f>Sheet1!E61</f>
        <v>838PRS20260702453</v>
      </c>
      <c r="F61" t="str">
        <f>Sheet1!F61</f>
        <v>Telemarketing Program</v>
      </c>
      <c r="G61" t="str">
        <f>Sheet1!G61</f>
        <v>8381022600040</v>
      </c>
      <c r="H61" t="str">
        <f>Sheet1!H61</f>
        <v>838APP20260700047</v>
      </c>
      <c r="I61" t="str">
        <f>Sheet1!I61</f>
        <v>IBRAHIM AZIZ</v>
      </c>
      <c r="J61" s="2">
        <f>Sheet1!K61</f>
        <v>46209.723352349502</v>
      </c>
      <c r="K61" s="2">
        <f>Sheet1!L61</f>
        <v>46219.899248148096</v>
      </c>
      <c r="L61" t="str">
        <f>Sheet1!M61</f>
        <v>Go Live</v>
      </c>
      <c r="M61" t="str">
        <f>Sheet1!P61</f>
        <v>TOYOTA</v>
      </c>
      <c r="N61" t="str">
        <f>Sheet1!Q61</f>
        <v>2023</v>
      </c>
      <c r="O61">
        <f>Sheet1!AB61</f>
        <v>333332000</v>
      </c>
      <c r="P61" s="2">
        <f>Sheet1!AD61</f>
        <v>46218</v>
      </c>
      <c r="Q61">
        <f>Sheet1!AI61</f>
        <v>0</v>
      </c>
      <c r="R61">
        <f>Sheet1!AJ61</f>
        <v>0</v>
      </c>
      <c r="S61" t="str">
        <f>Sheet1!AK61</f>
        <v>Golive</v>
      </c>
      <c r="T61" t="str">
        <f>Sheet1!AL61</f>
        <v>Tele</v>
      </c>
      <c r="U61" t="str">
        <f t="shared" si="0"/>
        <v>Done Survey</v>
      </c>
    </row>
    <row r="62" spans="1:21" x14ac:dyDescent="0.25">
      <c r="A62">
        <f>Sheet1!A62</f>
        <v>61</v>
      </c>
      <c r="B62" t="str">
        <f>Sheet1!B62</f>
        <v>BANDUNG</v>
      </c>
      <c r="C62" t="str">
        <f>Sheet1!C62</f>
        <v>UJANG HABUDIN</v>
      </c>
      <c r="D62" t="str">
        <f>Sheet1!D62</f>
        <v>ODRNO2607060070</v>
      </c>
      <c r="E62" t="str">
        <f>Sheet1!E62</f>
        <v>813PRS20260705137</v>
      </c>
      <c r="F62" t="str">
        <f>Sheet1!F62</f>
        <v>Sales Agent (SA)</v>
      </c>
      <c r="G62">
        <f>Sheet1!G62</f>
        <v>0</v>
      </c>
      <c r="H62" t="str">
        <f>Sheet1!H62</f>
        <v>813APP20260700026</v>
      </c>
      <c r="I62" t="str">
        <f>Sheet1!I62</f>
        <v>RAMDHAN FIRMANSYAH</v>
      </c>
      <c r="J62" s="2">
        <f>Sheet1!K62</f>
        <v>46209.401569756898</v>
      </c>
      <c r="K62" s="2">
        <f>Sheet1!L62</f>
        <v>46210.603150000003</v>
      </c>
      <c r="L62" t="str">
        <f>Sheet1!M62</f>
        <v>Return Handling</v>
      </c>
      <c r="M62" t="str">
        <f>Sheet1!P62</f>
        <v>HONDA</v>
      </c>
      <c r="N62" t="str">
        <f>Sheet1!Q62</f>
        <v>2015</v>
      </c>
      <c r="O62">
        <f>Sheet1!AB62</f>
        <v>0</v>
      </c>
      <c r="P62" s="2">
        <f>Sheet1!AD62</f>
        <v>46209</v>
      </c>
      <c r="Q62" t="str">
        <f>Sheet1!AI62</f>
        <v>DWI HARTO-226039</v>
      </c>
      <c r="R62" t="str">
        <f>Sheet1!AJ62</f>
        <v/>
      </c>
      <c r="S62" t="str">
        <f>Sheet1!AK62</f>
        <v>In Proses</v>
      </c>
      <c r="T62" t="str">
        <f>Sheet1!AL62</f>
        <v>SA</v>
      </c>
      <c r="U62" t="str">
        <f t="shared" si="0"/>
        <v>Done Survey</v>
      </c>
    </row>
    <row r="63" spans="1:21" x14ac:dyDescent="0.25">
      <c r="A63">
        <f>Sheet1!A63</f>
        <v>62</v>
      </c>
      <c r="B63" t="str">
        <f>Sheet1!B63</f>
        <v>BANDUNG</v>
      </c>
      <c r="C63" t="str">
        <f>Sheet1!C63</f>
        <v>Yana Mulyana</v>
      </c>
      <c r="D63" t="str">
        <f>Sheet1!D63</f>
        <v>ODRNO2607060082</v>
      </c>
      <c r="E63" t="str">
        <f>Sheet1!E63</f>
        <v>813PRS20260705140</v>
      </c>
      <c r="F63" t="str">
        <f>Sheet1!F63</f>
        <v>Sales Agent (SA)</v>
      </c>
      <c r="G63">
        <f>Sheet1!G63</f>
        <v>0</v>
      </c>
      <c r="H63" t="str">
        <f>Sheet1!H63</f>
        <v>813APP20260700051</v>
      </c>
      <c r="I63" t="str">
        <f>Sheet1!I63</f>
        <v>RISKI DALNI</v>
      </c>
      <c r="J63" s="2">
        <f>Sheet1!K63</f>
        <v>46209.413190393498</v>
      </c>
      <c r="K63" s="2">
        <f>Sheet1!L63</f>
        <v>46213.648037766201</v>
      </c>
      <c r="L63" t="str">
        <f>Sheet1!M63</f>
        <v>Return Handling</v>
      </c>
      <c r="M63" t="str">
        <f>Sheet1!P63</f>
        <v>TOYOTA</v>
      </c>
      <c r="N63" t="str">
        <f>Sheet1!Q63</f>
        <v>2022</v>
      </c>
      <c r="O63">
        <f>Sheet1!AB63</f>
        <v>0</v>
      </c>
      <c r="P63" s="2">
        <f>Sheet1!AD63</f>
        <v>46211</v>
      </c>
      <c r="Q63" t="str">
        <f>Sheet1!AI63</f>
        <v>ARIF AJI HARNIKO-0726009</v>
      </c>
      <c r="R63" t="str">
        <f>Sheet1!AJ63</f>
        <v/>
      </c>
      <c r="S63" t="str">
        <f>Sheet1!AK63</f>
        <v>In Proses</v>
      </c>
      <c r="T63" t="str">
        <f>Sheet1!AL63</f>
        <v>SA</v>
      </c>
      <c r="U63" t="str">
        <f t="shared" si="0"/>
        <v>Done Survey</v>
      </c>
    </row>
    <row r="64" spans="1:21" x14ac:dyDescent="0.25">
      <c r="A64">
        <f>Sheet1!A64</f>
        <v>63</v>
      </c>
      <c r="B64" t="str">
        <f>Sheet1!B64</f>
        <v>BANDUNG</v>
      </c>
      <c r="C64" t="str">
        <f>Sheet1!C64</f>
        <v>AGUS NURJANTO</v>
      </c>
      <c r="D64" t="str">
        <f>Sheet1!D64</f>
        <v>ODRNO2607060083</v>
      </c>
      <c r="E64" t="str">
        <f>Sheet1!E64</f>
        <v>813PRS20260705141</v>
      </c>
      <c r="F64" t="str">
        <f>Sheet1!F64</f>
        <v>Sales Agent (SA)</v>
      </c>
      <c r="G64">
        <f>Sheet1!G64</f>
        <v>0</v>
      </c>
      <c r="H64">
        <f>Sheet1!H64</f>
        <v>0</v>
      </c>
      <c r="I64" t="str">
        <f>Sheet1!I64</f>
        <v>RAMDHAN FIRMANSYAH</v>
      </c>
      <c r="J64" s="2">
        <f>Sheet1!K64</f>
        <v>46209.414362118099</v>
      </c>
      <c r="K64" s="2">
        <f>Sheet1!L64</f>
        <v>46217.333348611101</v>
      </c>
      <c r="L64" t="str">
        <f>Sheet1!M64</f>
        <v>Prospect Cancel</v>
      </c>
      <c r="M64" t="str">
        <f>Sheet1!P64</f>
        <v>FORD</v>
      </c>
      <c r="N64" t="str">
        <f>Sheet1!Q64</f>
        <v>2014</v>
      </c>
      <c r="O64">
        <f>Sheet1!AB64</f>
        <v>0</v>
      </c>
      <c r="P64" s="2">
        <f>Sheet1!AD64</f>
        <v>0</v>
      </c>
      <c r="Q64" t="str">
        <f>Sheet1!AI64</f>
        <v>DODI HERMAWAN-526015</v>
      </c>
      <c r="R64" t="str">
        <f>Sheet1!AJ64</f>
        <v/>
      </c>
      <c r="S64" t="str">
        <f>Sheet1!AK64</f>
        <v>Cancel</v>
      </c>
      <c r="T64" t="str">
        <f>Sheet1!AL64</f>
        <v>SA</v>
      </c>
      <c r="U64">
        <f t="shared" si="0"/>
        <v>0</v>
      </c>
    </row>
    <row r="65" spans="1:21" x14ac:dyDescent="0.25">
      <c r="A65">
        <f>Sheet1!A65</f>
        <v>64</v>
      </c>
      <c r="B65" t="str">
        <f>Sheet1!B65</f>
        <v>BANDUNG</v>
      </c>
      <c r="C65" t="str">
        <f>Sheet1!C65</f>
        <v>Ratna Juwita</v>
      </c>
      <c r="D65" t="str">
        <f>Sheet1!D65</f>
        <v>ODRNO2607060198</v>
      </c>
      <c r="E65" t="str">
        <f>Sheet1!E65</f>
        <v>813PRS20260705159</v>
      </c>
      <c r="F65" t="str">
        <f>Sheet1!F65</f>
        <v>Sales Agent (SA)</v>
      </c>
      <c r="G65">
        <f>Sheet1!G65</f>
        <v>0</v>
      </c>
      <c r="H65">
        <f>Sheet1!H65</f>
        <v>0</v>
      </c>
      <c r="I65" t="str">
        <f>Sheet1!I65</f>
        <v>RISKI DALNI</v>
      </c>
      <c r="J65" s="2">
        <f>Sheet1!K65</f>
        <v>46209.547701932897</v>
      </c>
      <c r="K65" s="2">
        <f>Sheet1!L65</f>
        <v>46209.559091863397</v>
      </c>
      <c r="L65" t="str">
        <f>Sheet1!M65</f>
        <v>Prospect Cancel</v>
      </c>
      <c r="M65" t="str">
        <f>Sheet1!P65</f>
        <v>HONDA</v>
      </c>
      <c r="N65" t="str">
        <f>Sheet1!Q65</f>
        <v>2022</v>
      </c>
      <c r="O65">
        <f>Sheet1!AB65</f>
        <v>0</v>
      </c>
      <c r="P65" s="2">
        <f>Sheet1!AD65</f>
        <v>0</v>
      </c>
      <c r="Q65" t="str">
        <f>Sheet1!AI65</f>
        <v>AHMAD ZAENI-0626025</v>
      </c>
      <c r="R65" t="str">
        <f>Sheet1!AJ65</f>
        <v/>
      </c>
      <c r="S65" t="str">
        <f>Sheet1!AK65</f>
        <v>Cancel</v>
      </c>
      <c r="T65" t="str">
        <f>Sheet1!AL65</f>
        <v>SA</v>
      </c>
      <c r="U65">
        <f t="shared" si="0"/>
        <v>0</v>
      </c>
    </row>
    <row r="66" spans="1:21" x14ac:dyDescent="0.25">
      <c r="A66">
        <f>Sheet1!A66</f>
        <v>65</v>
      </c>
      <c r="B66" t="str">
        <f>Sheet1!B66</f>
        <v>BANDUNG</v>
      </c>
      <c r="C66" t="str">
        <f>Sheet1!C66</f>
        <v>Billy Clinton Andira Gandasaputra</v>
      </c>
      <c r="D66" t="str">
        <f>Sheet1!D66</f>
        <v>ODRNO2607060217</v>
      </c>
      <c r="E66" t="str">
        <f>Sheet1!E66</f>
        <v>813PRS20260705160</v>
      </c>
      <c r="F66" t="str">
        <f>Sheet1!F66</f>
        <v>Sales Agent (SA)</v>
      </c>
      <c r="G66">
        <f>Sheet1!G66</f>
        <v>0</v>
      </c>
      <c r="H66">
        <f>Sheet1!H66</f>
        <v>0</v>
      </c>
      <c r="I66" t="str">
        <f>Sheet1!I66</f>
        <v>RISKI DALNI</v>
      </c>
      <c r="J66" s="2">
        <f>Sheet1!K66</f>
        <v>46209.5731997685</v>
      </c>
      <c r="K66" s="2">
        <f>Sheet1!L66</f>
        <v>46217.333348611101</v>
      </c>
      <c r="L66" t="str">
        <f>Sheet1!M66</f>
        <v>Prospect Cancel</v>
      </c>
      <c r="M66" t="str">
        <f>Sheet1!P66</f>
        <v>HONDA</v>
      </c>
      <c r="N66" t="str">
        <f>Sheet1!Q66</f>
        <v>2016</v>
      </c>
      <c r="O66">
        <f>Sheet1!AB66</f>
        <v>0</v>
      </c>
      <c r="P66" s="2">
        <f>Sheet1!AD66</f>
        <v>0</v>
      </c>
      <c r="Q66" t="str">
        <f>Sheet1!AI66</f>
        <v>AHMAD ZAENI-0626025</v>
      </c>
      <c r="R66" t="str">
        <f>Sheet1!AJ66</f>
        <v/>
      </c>
      <c r="S66" t="str">
        <f>Sheet1!AK66</f>
        <v>Cancel</v>
      </c>
      <c r="T66" t="str">
        <f>Sheet1!AL66</f>
        <v>SA</v>
      </c>
      <c r="U66">
        <f t="shared" si="0"/>
        <v>0</v>
      </c>
    </row>
    <row r="67" spans="1:21" x14ac:dyDescent="0.25">
      <c r="A67">
        <f>Sheet1!A67</f>
        <v>66</v>
      </c>
      <c r="B67" t="str">
        <f>Sheet1!B67</f>
        <v>BANDUNG</v>
      </c>
      <c r="C67" t="str">
        <f>Sheet1!C67</f>
        <v>ANDRI HARTAMAN</v>
      </c>
      <c r="D67" t="str">
        <f>Sheet1!D67</f>
        <v>ODRNO2607060271</v>
      </c>
      <c r="E67" t="str">
        <f>Sheet1!E67</f>
        <v>813PRS20260705167</v>
      </c>
      <c r="F67" t="str">
        <f>Sheet1!F67</f>
        <v>Sales Agent (SA)</v>
      </c>
      <c r="G67">
        <f>Sheet1!G67</f>
        <v>0</v>
      </c>
      <c r="H67">
        <f>Sheet1!H67</f>
        <v>0</v>
      </c>
      <c r="I67" t="str">
        <f>Sheet1!I67</f>
        <v>RAMDHAN FIRMANSYAH</v>
      </c>
      <c r="J67" s="2">
        <f>Sheet1!K67</f>
        <v>46209.714367743101</v>
      </c>
      <c r="K67" s="2">
        <f>Sheet1!L67</f>
        <v>46217.333348611101</v>
      </c>
      <c r="L67" t="str">
        <f>Sheet1!M67</f>
        <v>Prospect Cancel</v>
      </c>
      <c r="M67" t="str">
        <f>Sheet1!P67</f>
        <v>HONDA</v>
      </c>
      <c r="N67" t="str">
        <f>Sheet1!Q67</f>
        <v>2019</v>
      </c>
      <c r="O67">
        <f>Sheet1!AB67</f>
        <v>0</v>
      </c>
      <c r="P67" s="2">
        <f>Sheet1!AD67</f>
        <v>0</v>
      </c>
      <c r="Q67" t="str">
        <f>Sheet1!AI67</f>
        <v>ARIS YULIANSYAH HILMAN-126175</v>
      </c>
      <c r="R67" t="str">
        <f>Sheet1!AJ67</f>
        <v/>
      </c>
      <c r="S67" t="str">
        <f>Sheet1!AK67</f>
        <v>Cancel</v>
      </c>
      <c r="T67" t="str">
        <f>Sheet1!AL67</f>
        <v>SA</v>
      </c>
      <c r="U67">
        <f t="shared" ref="U67:U130" si="1">IF(H67=0,0,"Done Survey")</f>
        <v>0</v>
      </c>
    </row>
    <row r="68" spans="1:21" x14ac:dyDescent="0.25">
      <c r="A68">
        <f>Sheet1!A68</f>
        <v>67</v>
      </c>
      <c r="B68" t="str">
        <f>Sheet1!B68</f>
        <v>BEKASI</v>
      </c>
      <c r="C68" t="str">
        <f>Sheet1!C68</f>
        <v>DETU WAHYU PRAMONO</v>
      </c>
      <c r="D68" t="str">
        <f>Sheet1!D68</f>
        <v>ODRNO2607060207</v>
      </c>
      <c r="E68" t="str">
        <f>Sheet1!E68</f>
        <v>811PRS20260704579</v>
      </c>
      <c r="F68" t="str">
        <f>Sheet1!F68</f>
        <v>Telemarketing Program</v>
      </c>
      <c r="G68" t="str">
        <f>Sheet1!G68</f>
        <v>8111022600025</v>
      </c>
      <c r="H68" t="str">
        <f>Sheet1!H68</f>
        <v>811APP20260700026</v>
      </c>
      <c r="I68" t="str">
        <f>Sheet1!I68</f>
        <v>KURNIAWAN ARIBOWO</v>
      </c>
      <c r="J68" s="2">
        <f>Sheet1!K68</f>
        <v>46209.566078206</v>
      </c>
      <c r="K68" s="2">
        <f>Sheet1!L68</f>
        <v>46211.532106562503</v>
      </c>
      <c r="L68" t="str">
        <f>Sheet1!M68</f>
        <v>Go Live</v>
      </c>
      <c r="M68" t="str">
        <f>Sheet1!P68</f>
        <v>TOYOTA</v>
      </c>
      <c r="N68" t="str">
        <f>Sheet1!Q68</f>
        <v>2019</v>
      </c>
      <c r="O68">
        <f>Sheet1!AB68</f>
        <v>160920000</v>
      </c>
      <c r="P68" s="2">
        <f>Sheet1!AD68</f>
        <v>46211</v>
      </c>
      <c r="Q68">
        <f>Sheet1!AI68</f>
        <v>0</v>
      </c>
      <c r="R68">
        <f>Sheet1!AJ68</f>
        <v>0</v>
      </c>
      <c r="S68" t="str">
        <f>Sheet1!AK68</f>
        <v>Golive</v>
      </c>
      <c r="T68" t="str">
        <f>Sheet1!AL68</f>
        <v>Tele</v>
      </c>
      <c r="U68" t="str">
        <f t="shared" si="1"/>
        <v>Done Survey</v>
      </c>
    </row>
    <row r="69" spans="1:21" x14ac:dyDescent="0.25">
      <c r="A69">
        <f>Sheet1!A69</f>
        <v>68</v>
      </c>
      <c r="B69" t="str">
        <f>Sheet1!B69</f>
        <v>BENGKULU</v>
      </c>
      <c r="C69" t="str">
        <f>Sheet1!C69</f>
        <v>erni yusnita se</v>
      </c>
      <c r="D69" t="str">
        <f>Sheet1!D69</f>
        <v>ODRNO2607060106</v>
      </c>
      <c r="E69" t="str">
        <f>Sheet1!E69</f>
        <v>809PRS20260701240</v>
      </c>
      <c r="F69" t="str">
        <f>Sheet1!F69</f>
        <v>Sales Agent (SA)</v>
      </c>
      <c r="G69">
        <f>Sheet1!G69</f>
        <v>0</v>
      </c>
      <c r="H69">
        <f>Sheet1!H69</f>
        <v>0</v>
      </c>
      <c r="I69" t="str">
        <f>Sheet1!I69</f>
        <v>ADE CHANDRA PANE</v>
      </c>
      <c r="J69" s="2">
        <f>Sheet1!K69</f>
        <v>46209.442764236097</v>
      </c>
      <c r="K69" s="2">
        <f>Sheet1!L69</f>
        <v>46209.461873495398</v>
      </c>
      <c r="L69" t="str">
        <f>Sheet1!M69</f>
        <v>Prospect Cancel</v>
      </c>
      <c r="M69" t="str">
        <f>Sheet1!P69</f>
        <v>TOYOTA</v>
      </c>
      <c r="N69" t="str">
        <f>Sheet1!Q69</f>
        <v>2016</v>
      </c>
      <c r="O69">
        <f>Sheet1!AB69</f>
        <v>0</v>
      </c>
      <c r="P69" s="2">
        <f>Sheet1!AD69</f>
        <v>0</v>
      </c>
      <c r="Q69" t="str">
        <f>Sheet1!AI69</f>
        <v>BLEDUG HANGGONO-126010</v>
      </c>
      <c r="R69" t="str">
        <f>Sheet1!AJ69</f>
        <v/>
      </c>
      <c r="S69" t="str">
        <f>Sheet1!AK69</f>
        <v>Cancel</v>
      </c>
      <c r="T69" t="str">
        <f>Sheet1!AL69</f>
        <v>SA</v>
      </c>
      <c r="U69">
        <f t="shared" si="1"/>
        <v>0</v>
      </c>
    </row>
    <row r="70" spans="1:21" x14ac:dyDescent="0.25">
      <c r="A70">
        <f>Sheet1!A70</f>
        <v>69</v>
      </c>
      <c r="B70" t="str">
        <f>Sheet1!B70</f>
        <v>BOGOR</v>
      </c>
      <c r="C70" t="str">
        <f>Sheet1!C70</f>
        <v>TOPAN SOPYAN</v>
      </c>
      <c r="D70" t="str">
        <f>Sheet1!D70</f>
        <v>ODRNO2607060233</v>
      </c>
      <c r="E70" t="str">
        <f>Sheet1!E70</f>
        <v>812PRS20260701289</v>
      </c>
      <c r="F70" t="str">
        <f>Sheet1!F70</f>
        <v>Sales Agent (SA)</v>
      </c>
      <c r="G70">
        <f>Sheet1!G70</f>
        <v>0</v>
      </c>
      <c r="H70">
        <f>Sheet1!H70</f>
        <v>0</v>
      </c>
      <c r="I70" t="str">
        <f>Sheet1!I70</f>
        <v>SENJAYA BUDIMAN</v>
      </c>
      <c r="J70" s="2">
        <f>Sheet1!K70</f>
        <v>46209.616391053198</v>
      </c>
      <c r="K70" s="2">
        <f>Sheet1!L70</f>
        <v>46217.333348611101</v>
      </c>
      <c r="L70" t="str">
        <f>Sheet1!M70</f>
        <v>Prospect Cancel</v>
      </c>
      <c r="M70" t="str">
        <f>Sheet1!P70</f>
        <v>HONDA</v>
      </c>
      <c r="N70" t="str">
        <f>Sheet1!Q70</f>
        <v>2021</v>
      </c>
      <c r="O70">
        <f>Sheet1!AB70</f>
        <v>0</v>
      </c>
      <c r="P70" s="2">
        <f>Sheet1!AD70</f>
        <v>0</v>
      </c>
      <c r="Q70" t="str">
        <f>Sheet1!AI70</f>
        <v>ADI SUTEJO SE-526006</v>
      </c>
      <c r="R70" t="str">
        <f>Sheet1!AJ70</f>
        <v/>
      </c>
      <c r="S70" t="str">
        <f>Sheet1!AK70</f>
        <v>Cancel</v>
      </c>
      <c r="T70" t="str">
        <f>Sheet1!AL70</f>
        <v>SA</v>
      </c>
      <c r="U70">
        <f t="shared" si="1"/>
        <v>0</v>
      </c>
    </row>
    <row r="71" spans="1:21" x14ac:dyDescent="0.25">
      <c r="A71">
        <f>Sheet1!A71</f>
        <v>70</v>
      </c>
      <c r="B71" t="str">
        <f>Sheet1!B71</f>
        <v>LAMPUNG</v>
      </c>
      <c r="C71" t="str">
        <f>Sheet1!C71</f>
        <v>suhaidi</v>
      </c>
      <c r="D71" t="str">
        <f>Sheet1!D71</f>
        <v>ODRNO2607060162</v>
      </c>
      <c r="E71" t="str">
        <f>Sheet1!E71</f>
        <v>810PRS20260700670</v>
      </c>
      <c r="F71" t="str">
        <f>Sheet1!F71</f>
        <v>Sales Agent (SA)</v>
      </c>
      <c r="G71">
        <f>Sheet1!G71</f>
        <v>0</v>
      </c>
      <c r="H71">
        <f>Sheet1!H71</f>
        <v>0</v>
      </c>
      <c r="I71" t="str">
        <f>Sheet1!I71</f>
        <v>AZWAN</v>
      </c>
      <c r="J71" s="2">
        <f>Sheet1!K71</f>
        <v>46209.498897800899</v>
      </c>
      <c r="K71" s="2">
        <f>Sheet1!L71</f>
        <v>46218.333372604196</v>
      </c>
      <c r="L71" t="str">
        <f>Sheet1!M71</f>
        <v>Prospect Cancel</v>
      </c>
      <c r="M71" t="str">
        <f>Sheet1!P71</f>
        <v>TOYOTA</v>
      </c>
      <c r="N71" t="str">
        <f>Sheet1!Q71</f>
        <v>2008</v>
      </c>
      <c r="O71">
        <f>Sheet1!AB71</f>
        <v>0</v>
      </c>
      <c r="P71" s="2">
        <f>Sheet1!AD71</f>
        <v>0</v>
      </c>
      <c r="Q71" t="str">
        <f>Sheet1!AI71</f>
        <v>MURNI ASIH-126120</v>
      </c>
      <c r="R71" t="str">
        <f>Sheet1!AJ71</f>
        <v/>
      </c>
      <c r="S71" t="str">
        <f>Sheet1!AK71</f>
        <v>Cancel</v>
      </c>
      <c r="T71" t="str">
        <f>Sheet1!AL71</f>
        <v>SA</v>
      </c>
      <c r="U71">
        <f t="shared" si="1"/>
        <v>0</v>
      </c>
    </row>
    <row r="72" spans="1:21" x14ac:dyDescent="0.25">
      <c r="A72">
        <f>Sheet1!A72</f>
        <v>71</v>
      </c>
      <c r="B72" t="str">
        <f>Sheet1!B72</f>
        <v>LAMPUNG</v>
      </c>
      <c r="C72" t="str">
        <f>Sheet1!C72</f>
        <v>deson taria</v>
      </c>
      <c r="D72" t="str">
        <f>Sheet1!D72</f>
        <v>ODRNO2607060246</v>
      </c>
      <c r="E72" t="str">
        <f>Sheet1!E72</f>
        <v>810PRS20260700672</v>
      </c>
      <c r="F72" t="str">
        <f>Sheet1!F72</f>
        <v>Sales Agent (SA)</v>
      </c>
      <c r="G72">
        <f>Sheet1!G72</f>
        <v>0</v>
      </c>
      <c r="H72">
        <f>Sheet1!H72</f>
        <v>0</v>
      </c>
      <c r="I72" t="str">
        <f>Sheet1!I72</f>
        <v>AZWAN</v>
      </c>
      <c r="J72" s="2">
        <f>Sheet1!K72</f>
        <v>46209.639958761603</v>
      </c>
      <c r="K72" s="2">
        <f>Sheet1!L72</f>
        <v>46218.333372604196</v>
      </c>
      <c r="L72" t="str">
        <f>Sheet1!M72</f>
        <v>Prospect Cancel</v>
      </c>
      <c r="M72" t="str">
        <f>Sheet1!P72</f>
        <v>HONDA</v>
      </c>
      <c r="N72" t="str">
        <f>Sheet1!Q72</f>
        <v>2022</v>
      </c>
      <c r="O72">
        <f>Sheet1!AB72</f>
        <v>0</v>
      </c>
      <c r="P72" s="2">
        <f>Sheet1!AD72</f>
        <v>0</v>
      </c>
      <c r="Q72" t="str">
        <f>Sheet1!AI72</f>
        <v>RIFKI ARDIANSYAH-326001</v>
      </c>
      <c r="R72" t="str">
        <f>Sheet1!AJ72</f>
        <v/>
      </c>
      <c r="S72" t="str">
        <f>Sheet1!AK72</f>
        <v>Cancel</v>
      </c>
      <c r="T72" t="str">
        <f>Sheet1!AL72</f>
        <v>SA</v>
      </c>
      <c r="U72">
        <f t="shared" si="1"/>
        <v>0</v>
      </c>
    </row>
    <row r="73" spans="1:21" x14ac:dyDescent="0.25">
      <c r="A73">
        <f>Sheet1!A73</f>
        <v>72</v>
      </c>
      <c r="B73" t="str">
        <f>Sheet1!B73</f>
        <v>MEDAN DUA</v>
      </c>
      <c r="C73" t="str">
        <f>Sheet1!C73</f>
        <v>ARDIANSYAH PUTRA LUBIS</v>
      </c>
      <c r="D73" t="str">
        <f>Sheet1!D73</f>
        <v>ODRNO2607060244</v>
      </c>
      <c r="E73" t="str">
        <f>Sheet1!E73</f>
        <v>839PRS20260700889</v>
      </c>
      <c r="F73" t="str">
        <f>Sheet1!F73</f>
        <v>Sales Agent (SA)</v>
      </c>
      <c r="G73">
        <f>Sheet1!G73</f>
        <v>0</v>
      </c>
      <c r="H73">
        <f>Sheet1!H73</f>
        <v>0</v>
      </c>
      <c r="I73" t="str">
        <f>Sheet1!I73</f>
        <v>WASTO SIHOMBING</v>
      </c>
      <c r="J73" s="2">
        <f>Sheet1!K73</f>
        <v>46209.638868634298</v>
      </c>
      <c r="K73" s="2">
        <f>Sheet1!L73</f>
        <v>46217.333348611101</v>
      </c>
      <c r="L73" t="str">
        <f>Sheet1!M73</f>
        <v>Prospect Cancel</v>
      </c>
      <c r="M73" t="str">
        <f>Sheet1!P73</f>
        <v>TOYOTA</v>
      </c>
      <c r="N73" t="str">
        <f>Sheet1!Q73</f>
        <v>2016</v>
      </c>
      <c r="O73">
        <f>Sheet1!AB73</f>
        <v>0</v>
      </c>
      <c r="P73" s="2">
        <f>Sheet1!AD73</f>
        <v>0</v>
      </c>
      <c r="Q73" t="str">
        <f>Sheet1!AI73</f>
        <v>HERRY BUDIANTO MANULLANG-126401</v>
      </c>
      <c r="R73" t="str">
        <f>Sheet1!AJ73</f>
        <v/>
      </c>
      <c r="S73" t="str">
        <f>Sheet1!AK73</f>
        <v>Cancel</v>
      </c>
      <c r="T73" t="str">
        <f>Sheet1!AL73</f>
        <v>SA</v>
      </c>
      <c r="U73">
        <f t="shared" si="1"/>
        <v>0</v>
      </c>
    </row>
    <row r="74" spans="1:21" x14ac:dyDescent="0.25">
      <c r="A74">
        <f>Sheet1!A74</f>
        <v>73</v>
      </c>
      <c r="B74" t="str">
        <f>Sheet1!B74</f>
        <v>MEDAN DUA</v>
      </c>
      <c r="C74" t="str">
        <f>Sheet1!C74</f>
        <v>SUHERU</v>
      </c>
      <c r="D74" t="str">
        <f>Sheet1!D74</f>
        <v>ODRNO2607060247</v>
      </c>
      <c r="E74" t="str">
        <f>Sheet1!E74</f>
        <v>839PRS20260700890</v>
      </c>
      <c r="F74" t="str">
        <f>Sheet1!F74</f>
        <v>Sales Agent (SA)</v>
      </c>
      <c r="G74">
        <f>Sheet1!G74</f>
        <v>0</v>
      </c>
      <c r="H74">
        <f>Sheet1!H74</f>
        <v>0</v>
      </c>
      <c r="I74" t="str">
        <f>Sheet1!I74</f>
        <v>WASTO SIHOMBING</v>
      </c>
      <c r="J74" s="2">
        <f>Sheet1!K74</f>
        <v>46209.640938425902</v>
      </c>
      <c r="K74" s="2">
        <f>Sheet1!L74</f>
        <v>46209.659852777797</v>
      </c>
      <c r="L74" t="str">
        <f>Sheet1!M74</f>
        <v>Prospect Cancel</v>
      </c>
      <c r="M74" t="str">
        <f>Sheet1!P74</f>
        <v>TOYOTA</v>
      </c>
      <c r="N74" t="str">
        <f>Sheet1!Q74</f>
        <v>2016</v>
      </c>
      <c r="O74">
        <f>Sheet1!AB74</f>
        <v>0</v>
      </c>
      <c r="P74" s="2">
        <f>Sheet1!AD74</f>
        <v>0</v>
      </c>
      <c r="Q74" t="str">
        <f>Sheet1!AI74</f>
        <v>ALEXANDER SIREGAR-126373</v>
      </c>
      <c r="R74" t="str">
        <f>Sheet1!AJ74</f>
        <v/>
      </c>
      <c r="S74" t="str">
        <f>Sheet1!AK74</f>
        <v>Cancel</v>
      </c>
      <c r="T74" t="str">
        <f>Sheet1!AL74</f>
        <v>SA</v>
      </c>
      <c r="U74">
        <f t="shared" si="1"/>
        <v>0</v>
      </c>
    </row>
    <row r="75" spans="1:21" x14ac:dyDescent="0.25">
      <c r="A75">
        <f>Sheet1!A75</f>
        <v>74</v>
      </c>
      <c r="B75" t="str">
        <f>Sheet1!B75</f>
        <v>MEDAN DUA</v>
      </c>
      <c r="C75" t="str">
        <f>Sheet1!C75</f>
        <v>INDRA BETANIAHU</v>
      </c>
      <c r="D75" t="str">
        <f>Sheet1!D75</f>
        <v>ODRNO2607060250</v>
      </c>
      <c r="E75" t="str">
        <f>Sheet1!E75</f>
        <v>839PRS20260700891</v>
      </c>
      <c r="F75" t="str">
        <f>Sheet1!F75</f>
        <v>Sales Agent (SA)</v>
      </c>
      <c r="G75">
        <f>Sheet1!G75</f>
        <v>0</v>
      </c>
      <c r="H75">
        <f>Sheet1!H75</f>
        <v>0</v>
      </c>
      <c r="I75" t="str">
        <f>Sheet1!I75</f>
        <v>WASTO SIHOMBING</v>
      </c>
      <c r="J75" s="2">
        <f>Sheet1!K75</f>
        <v>46209.643455555597</v>
      </c>
      <c r="K75" s="2">
        <f>Sheet1!L75</f>
        <v>46209.653662962999</v>
      </c>
      <c r="L75" t="str">
        <f>Sheet1!M75</f>
        <v>Prospect Cancel</v>
      </c>
      <c r="M75" t="str">
        <f>Sheet1!P75</f>
        <v>TOYOTA</v>
      </c>
      <c r="N75" t="str">
        <f>Sheet1!Q75</f>
        <v>2016</v>
      </c>
      <c r="O75">
        <f>Sheet1!AB75</f>
        <v>0</v>
      </c>
      <c r="P75" s="2">
        <f>Sheet1!AD75</f>
        <v>0</v>
      </c>
      <c r="Q75" t="str">
        <f>Sheet1!AI75</f>
        <v>ALEXANDER SIREGAR-126373</v>
      </c>
      <c r="R75" t="str">
        <f>Sheet1!AJ75</f>
        <v/>
      </c>
      <c r="S75" t="str">
        <f>Sheet1!AK75</f>
        <v>Cancel</v>
      </c>
      <c r="T75" t="str">
        <f>Sheet1!AL75</f>
        <v>SA</v>
      </c>
      <c r="U75">
        <f t="shared" si="1"/>
        <v>0</v>
      </c>
    </row>
    <row r="76" spans="1:21" x14ac:dyDescent="0.25">
      <c r="A76">
        <f>Sheet1!A76</f>
        <v>75</v>
      </c>
      <c r="B76" t="str">
        <f>Sheet1!B76</f>
        <v>MEDAN DUA</v>
      </c>
      <c r="C76" t="str">
        <f>Sheet1!C76</f>
        <v>MAWARDI</v>
      </c>
      <c r="D76" t="str">
        <f>Sheet1!D76</f>
        <v>ODRNO2607060252</v>
      </c>
      <c r="E76" t="str">
        <f>Sheet1!E76</f>
        <v>839PRS20260700892</v>
      </c>
      <c r="F76" t="str">
        <f>Sheet1!F76</f>
        <v>Sales Agent (SA)</v>
      </c>
      <c r="G76">
        <f>Sheet1!G76</f>
        <v>0</v>
      </c>
      <c r="H76">
        <f>Sheet1!H76</f>
        <v>0</v>
      </c>
      <c r="I76" t="str">
        <f>Sheet1!I76</f>
        <v>WASTO SIHOMBING</v>
      </c>
      <c r="J76" s="2">
        <f>Sheet1!K76</f>
        <v>46209.645258877303</v>
      </c>
      <c r="K76" s="2">
        <f>Sheet1!L76</f>
        <v>46217.333348611101</v>
      </c>
      <c r="L76" t="str">
        <f>Sheet1!M76</f>
        <v>Prospect Cancel</v>
      </c>
      <c r="M76" t="str">
        <f>Sheet1!P76</f>
        <v>TOYOTA</v>
      </c>
      <c r="N76" t="str">
        <f>Sheet1!Q76</f>
        <v>2015</v>
      </c>
      <c r="O76">
        <f>Sheet1!AB76</f>
        <v>0</v>
      </c>
      <c r="P76" s="2">
        <f>Sheet1!AD76</f>
        <v>0</v>
      </c>
      <c r="Q76" t="str">
        <f>Sheet1!AI76</f>
        <v>ALEXANDER SIREGAR-126373</v>
      </c>
      <c r="R76" t="str">
        <f>Sheet1!AJ76</f>
        <v/>
      </c>
      <c r="S76" t="str">
        <f>Sheet1!AK76</f>
        <v>Cancel</v>
      </c>
      <c r="T76" t="str">
        <f>Sheet1!AL76</f>
        <v>SA</v>
      </c>
      <c r="U76">
        <f t="shared" si="1"/>
        <v>0</v>
      </c>
    </row>
    <row r="77" spans="1:21" x14ac:dyDescent="0.25">
      <c r="A77">
        <f>Sheet1!A77</f>
        <v>76</v>
      </c>
      <c r="B77" t="str">
        <f>Sheet1!B77</f>
        <v>PEKANBARU</v>
      </c>
      <c r="C77" t="str">
        <f>Sheet1!C77</f>
        <v>JULIANUS SIMATUPANG</v>
      </c>
      <c r="D77" t="str">
        <f>Sheet1!D77</f>
        <v>ODRNO2607060155</v>
      </c>
      <c r="E77" t="str">
        <f>Sheet1!E77</f>
        <v>805PRS20260702509</v>
      </c>
      <c r="F77" t="str">
        <f>Sheet1!F77</f>
        <v>Sales Agent (SA)</v>
      </c>
      <c r="G77" t="str">
        <f>Sheet1!G77</f>
        <v>8051032600014</v>
      </c>
      <c r="H77" t="str">
        <f>Sheet1!H77</f>
        <v>805APP20260700014</v>
      </c>
      <c r="I77" t="str">
        <f>Sheet1!I77</f>
        <v>MUHAMMAD RIDWAN</v>
      </c>
      <c r="J77" s="2">
        <f>Sheet1!K77</f>
        <v>46209.493206215302</v>
      </c>
      <c r="K77" s="2">
        <f>Sheet1!L77</f>
        <v>46211.976850613399</v>
      </c>
      <c r="L77" t="str">
        <f>Sheet1!M77</f>
        <v>Go Live</v>
      </c>
      <c r="M77" t="str">
        <f>Sheet1!P77</f>
        <v>TOYOTA</v>
      </c>
      <c r="N77" t="str">
        <f>Sheet1!Q77</f>
        <v>2021</v>
      </c>
      <c r="O77">
        <f>Sheet1!AB77</f>
        <v>93373500</v>
      </c>
      <c r="P77" s="2">
        <f>Sheet1!AD77</f>
        <v>46210</v>
      </c>
      <c r="Q77" t="str">
        <f>Sheet1!AI77</f>
        <v>MUHAMMAD RAMLI-226112</v>
      </c>
      <c r="R77" t="str">
        <f>Sheet1!AJ77</f>
        <v/>
      </c>
      <c r="S77" t="str">
        <f>Sheet1!AK77</f>
        <v>Golive</v>
      </c>
      <c r="T77" t="str">
        <f>Sheet1!AL77</f>
        <v>SA</v>
      </c>
      <c r="U77" t="str">
        <f t="shared" si="1"/>
        <v>Done Survey</v>
      </c>
    </row>
    <row r="78" spans="1:21" x14ac:dyDescent="0.25">
      <c r="A78">
        <f>Sheet1!A78</f>
        <v>77</v>
      </c>
      <c r="B78" t="str">
        <f>Sheet1!B78</f>
        <v>PEKANBARU</v>
      </c>
      <c r="C78" t="str">
        <f>Sheet1!C78</f>
        <v>ISMAIL SARLATA</v>
      </c>
      <c r="D78" t="str">
        <f>Sheet1!D78</f>
        <v>ODRNO2607060267</v>
      </c>
      <c r="E78" t="str">
        <f>Sheet1!E78</f>
        <v>805PRS20260702514</v>
      </c>
      <c r="F78" t="str">
        <f>Sheet1!F78</f>
        <v>Sales Agent (SA)</v>
      </c>
      <c r="G78">
        <f>Sheet1!G78</f>
        <v>0</v>
      </c>
      <c r="H78">
        <f>Sheet1!H78</f>
        <v>0</v>
      </c>
      <c r="I78" t="str">
        <f>Sheet1!I78</f>
        <v>MUHAMMAD RIDWAN</v>
      </c>
      <c r="J78" s="2">
        <f>Sheet1!K78</f>
        <v>46209.684884108799</v>
      </c>
      <c r="K78" s="2">
        <f>Sheet1!L78</f>
        <v>46217.333348611101</v>
      </c>
      <c r="L78" t="str">
        <f>Sheet1!M78</f>
        <v>Prospect Cancel</v>
      </c>
      <c r="M78" t="str">
        <f>Sheet1!P78</f>
        <v>DAIHATSU</v>
      </c>
      <c r="N78" t="str">
        <f>Sheet1!Q78</f>
        <v>2024</v>
      </c>
      <c r="O78">
        <f>Sheet1!AB78</f>
        <v>0</v>
      </c>
      <c r="P78" s="2">
        <f>Sheet1!AD78</f>
        <v>0</v>
      </c>
      <c r="Q78" t="str">
        <f>Sheet1!AI78</f>
        <v>WIWIN PRASETYA-126121</v>
      </c>
      <c r="R78" t="str">
        <f>Sheet1!AJ78</f>
        <v/>
      </c>
      <c r="S78" t="str">
        <f>Sheet1!AK78</f>
        <v>Cancel</v>
      </c>
      <c r="T78" t="str">
        <f>Sheet1!AL78</f>
        <v>SA</v>
      </c>
      <c r="U78">
        <f t="shared" si="1"/>
        <v>0</v>
      </c>
    </row>
    <row r="79" spans="1:21" x14ac:dyDescent="0.25">
      <c r="A79">
        <f>Sheet1!A79</f>
        <v>78</v>
      </c>
      <c r="B79" t="str">
        <f>Sheet1!B79</f>
        <v>SAMARINDA</v>
      </c>
      <c r="C79" t="str">
        <f>Sheet1!C79</f>
        <v>INDRA</v>
      </c>
      <c r="D79" t="str">
        <f>Sheet1!D79</f>
        <v>ODRNO2607060236</v>
      </c>
      <c r="E79" t="str">
        <f>Sheet1!E79</f>
        <v>823PRS20260700367</v>
      </c>
      <c r="F79" t="str">
        <f>Sheet1!F79</f>
        <v>Sales Agent (SA)</v>
      </c>
      <c r="G79" t="str">
        <f>Sheet1!G79</f>
        <v>8231032600004</v>
      </c>
      <c r="H79" t="str">
        <f>Sheet1!H79</f>
        <v>823APP20260700011</v>
      </c>
      <c r="I79" t="str">
        <f>Sheet1!I79</f>
        <v>BAYU SAPUTRA</v>
      </c>
      <c r="J79" s="2">
        <f>Sheet1!K79</f>
        <v>46209.626325497702</v>
      </c>
      <c r="K79" s="2">
        <f>Sheet1!L79</f>
        <v>46217.634294178199</v>
      </c>
      <c r="L79" t="str">
        <f>Sheet1!M79</f>
        <v>Go Live</v>
      </c>
      <c r="M79" t="str">
        <f>Sheet1!P79</f>
        <v>TOYOTA</v>
      </c>
      <c r="N79" t="str">
        <f>Sheet1!Q79</f>
        <v>2014</v>
      </c>
      <c r="O79">
        <f>Sheet1!AB79</f>
        <v>42302000</v>
      </c>
      <c r="P79" s="2">
        <f>Sheet1!AD79</f>
        <v>46217</v>
      </c>
      <c r="Q79" t="str">
        <f>Sheet1!AI79</f>
        <v>YANTO-226144</v>
      </c>
      <c r="R79" t="str">
        <f>Sheet1!AJ79</f>
        <v/>
      </c>
      <c r="S79" t="str">
        <f>Sheet1!AK79</f>
        <v>Golive</v>
      </c>
      <c r="T79" t="str">
        <f>Sheet1!AL79</f>
        <v>SA</v>
      </c>
      <c r="U79" t="str">
        <f t="shared" si="1"/>
        <v>Done Survey</v>
      </c>
    </row>
    <row r="80" spans="1:21" x14ac:dyDescent="0.25">
      <c r="A80">
        <f>Sheet1!A80</f>
        <v>79</v>
      </c>
      <c r="B80" t="str">
        <f>Sheet1!B80</f>
        <v>SAMARINDA</v>
      </c>
      <c r="C80" t="str">
        <f>Sheet1!C80</f>
        <v>ANDRIANI</v>
      </c>
      <c r="D80" t="str">
        <f>Sheet1!D80</f>
        <v>ODRNO2607060243</v>
      </c>
      <c r="E80" t="str">
        <f>Sheet1!E80</f>
        <v>823PRS20260700368</v>
      </c>
      <c r="F80" t="str">
        <f>Sheet1!F80</f>
        <v>Sales Agent (SA)</v>
      </c>
      <c r="G80">
        <f>Sheet1!G80</f>
        <v>0</v>
      </c>
      <c r="H80">
        <f>Sheet1!H80</f>
        <v>0</v>
      </c>
      <c r="I80" t="str">
        <f>Sheet1!I80</f>
        <v>BAYU SAPUTRA</v>
      </c>
      <c r="J80" s="2">
        <f>Sheet1!K80</f>
        <v>46209.636295798598</v>
      </c>
      <c r="K80" s="2">
        <f>Sheet1!L80</f>
        <v>46221.333345370404</v>
      </c>
      <c r="L80" t="str">
        <f>Sheet1!M80</f>
        <v>Prospect Cancel</v>
      </c>
      <c r="M80" t="str">
        <f>Sheet1!P80</f>
        <v>TOYOTA</v>
      </c>
      <c r="N80" t="str">
        <f>Sheet1!Q80</f>
        <v>2011</v>
      </c>
      <c r="O80">
        <f>Sheet1!AB80</f>
        <v>0</v>
      </c>
      <c r="P80" s="2">
        <f>Sheet1!AD80</f>
        <v>0</v>
      </c>
      <c r="Q80" t="str">
        <f>Sheet1!AI80</f>
        <v>YANTO-226144</v>
      </c>
      <c r="R80" t="str">
        <f>Sheet1!AJ80</f>
        <v/>
      </c>
      <c r="S80" t="str">
        <f>Sheet1!AK80</f>
        <v>Cancel</v>
      </c>
      <c r="T80" t="str">
        <f>Sheet1!AL80</f>
        <v>SA</v>
      </c>
      <c r="U80">
        <f t="shared" si="1"/>
        <v>0</v>
      </c>
    </row>
    <row r="81" spans="1:21" x14ac:dyDescent="0.25">
      <c r="A81">
        <f>Sheet1!A81</f>
        <v>80</v>
      </c>
      <c r="B81" t="str">
        <f>Sheet1!B81</f>
        <v>SURABAYA SATU</v>
      </c>
      <c r="C81" t="str">
        <f>Sheet1!C81</f>
        <v>putra mega nata</v>
      </c>
      <c r="D81" t="str">
        <f>Sheet1!D81</f>
        <v>ODRNO2607060171</v>
      </c>
      <c r="E81" t="str">
        <f>Sheet1!E81</f>
        <v>819PRS20260700998</v>
      </c>
      <c r="F81" t="str">
        <f>Sheet1!F81</f>
        <v>Sales Agent (SA)</v>
      </c>
      <c r="G81" t="str">
        <f>Sheet1!G81</f>
        <v>8191022600010</v>
      </c>
      <c r="H81" t="str">
        <f>Sheet1!H81</f>
        <v>819APP20260700008</v>
      </c>
      <c r="I81" t="str">
        <f>Sheet1!I81</f>
        <v>PONDRA PUJIONO</v>
      </c>
      <c r="J81" s="2">
        <f>Sheet1!K81</f>
        <v>46209.509129942096</v>
      </c>
      <c r="K81" s="2">
        <f>Sheet1!L81</f>
        <v>46211.656946215298</v>
      </c>
      <c r="L81" t="str">
        <f>Sheet1!M81</f>
        <v>Go Live</v>
      </c>
      <c r="M81" t="str">
        <f>Sheet1!P81</f>
        <v>TOYOTA</v>
      </c>
      <c r="N81" t="str">
        <f>Sheet1!Q81</f>
        <v>2014</v>
      </c>
      <c r="O81">
        <f>Sheet1!AB81</f>
        <v>50459500</v>
      </c>
      <c r="P81" s="2">
        <f>Sheet1!AD81</f>
        <v>46211</v>
      </c>
      <c r="Q81" t="str">
        <f>Sheet1!AI81</f>
        <v>MOH MAULUDDIN AFANDI-226023</v>
      </c>
      <c r="R81" t="str">
        <f>Sheet1!AJ81</f>
        <v/>
      </c>
      <c r="S81" t="str">
        <f>Sheet1!AK81</f>
        <v>Golive</v>
      </c>
      <c r="T81" t="str">
        <f>Sheet1!AL81</f>
        <v>SA</v>
      </c>
      <c r="U81" t="str">
        <f t="shared" si="1"/>
        <v>Done Survey</v>
      </c>
    </row>
    <row r="82" spans="1:21" x14ac:dyDescent="0.25">
      <c r="A82">
        <f>Sheet1!A82</f>
        <v>81</v>
      </c>
      <c r="B82" t="str">
        <f>Sheet1!B82</f>
        <v>BANDUNG</v>
      </c>
      <c r="C82" t="str">
        <f>Sheet1!C82</f>
        <v>Ivan Prabumi</v>
      </c>
      <c r="D82" t="str">
        <f>Sheet1!D82</f>
        <v>ODRNO2607070076</v>
      </c>
      <c r="E82" t="str">
        <f>Sheet1!E82</f>
        <v>813PRS20260705177</v>
      </c>
      <c r="F82" t="str">
        <f>Sheet1!F82</f>
        <v>Sales Agent (SA)</v>
      </c>
      <c r="G82">
        <f>Sheet1!G82</f>
        <v>0</v>
      </c>
      <c r="H82">
        <f>Sheet1!H82</f>
        <v>0</v>
      </c>
      <c r="I82" t="str">
        <f>Sheet1!I82</f>
        <v>RISKI DALNI</v>
      </c>
      <c r="J82" s="2">
        <f>Sheet1!K82</f>
        <v>46210.454250150498</v>
      </c>
      <c r="K82" s="2">
        <f>Sheet1!L82</f>
        <v>46210.4621309375</v>
      </c>
      <c r="L82" t="str">
        <f>Sheet1!M82</f>
        <v>Prospect Cancel</v>
      </c>
      <c r="M82" t="str">
        <f>Sheet1!P82</f>
        <v>BYD</v>
      </c>
      <c r="N82" t="str">
        <f>Sheet1!Q82</f>
        <v>2025</v>
      </c>
      <c r="O82">
        <f>Sheet1!AB82</f>
        <v>0</v>
      </c>
      <c r="P82" s="2">
        <f>Sheet1!AD82</f>
        <v>0</v>
      </c>
      <c r="Q82" t="str">
        <f>Sheet1!AI82</f>
        <v>DEAMPSY SATRIA SWAWIBAWA-0626032</v>
      </c>
      <c r="R82" t="str">
        <f>Sheet1!AJ82</f>
        <v/>
      </c>
      <c r="S82" t="str">
        <f>Sheet1!AK82</f>
        <v>Cancel</v>
      </c>
      <c r="T82" t="str">
        <f>Sheet1!AL82</f>
        <v>SA</v>
      </c>
      <c r="U82">
        <f t="shared" si="1"/>
        <v>0</v>
      </c>
    </row>
    <row r="83" spans="1:21" x14ac:dyDescent="0.25">
      <c r="A83">
        <f>Sheet1!A83</f>
        <v>82</v>
      </c>
      <c r="B83" t="str">
        <f>Sheet1!B83</f>
        <v>BANDUNG</v>
      </c>
      <c r="C83" t="str">
        <f>Sheet1!C83</f>
        <v>HJ NUNUNG HARTINI</v>
      </c>
      <c r="D83" t="str">
        <f>Sheet1!D83</f>
        <v>ODRNO2607070098</v>
      </c>
      <c r="E83" t="str">
        <f>Sheet1!E83</f>
        <v>813PRS20260705180</v>
      </c>
      <c r="F83" t="str">
        <f>Sheet1!F83</f>
        <v>Sales Agent (SA)</v>
      </c>
      <c r="G83" t="str">
        <f>Sheet1!G83</f>
        <v>8131022600014</v>
      </c>
      <c r="H83" t="str">
        <f>Sheet1!H83</f>
        <v>813APP20260700040</v>
      </c>
      <c r="I83" t="str">
        <f>Sheet1!I83</f>
        <v>RAMDHAN FIRMANSYAH</v>
      </c>
      <c r="J83" s="2">
        <f>Sheet1!K83</f>
        <v>46210.505366203703</v>
      </c>
      <c r="K83" s="2">
        <f>Sheet1!L83</f>
        <v>46212.417051932898</v>
      </c>
      <c r="L83" t="str">
        <f>Sheet1!M83</f>
        <v>Go Live</v>
      </c>
      <c r="M83" t="str">
        <f>Sheet1!P83</f>
        <v>MITSUBISHI</v>
      </c>
      <c r="N83" t="str">
        <f>Sheet1!Q83</f>
        <v>2019</v>
      </c>
      <c r="O83">
        <f>Sheet1!AB83</f>
        <v>194650000</v>
      </c>
      <c r="P83" s="2">
        <f>Sheet1!AD83</f>
        <v>46211</v>
      </c>
      <c r="Q83" t="str">
        <f>Sheet1!AI83</f>
        <v>DWI HARTO-226039</v>
      </c>
      <c r="R83" t="str">
        <f>Sheet1!AJ83</f>
        <v/>
      </c>
      <c r="S83" t="str">
        <f>Sheet1!AK83</f>
        <v>Golive</v>
      </c>
      <c r="T83" t="str">
        <f>Sheet1!AL83</f>
        <v>SA</v>
      </c>
      <c r="U83" t="str">
        <f t="shared" si="1"/>
        <v>Done Survey</v>
      </c>
    </row>
    <row r="84" spans="1:21" x14ac:dyDescent="0.25">
      <c r="A84">
        <f>Sheet1!A84</f>
        <v>83</v>
      </c>
      <c r="B84" t="str">
        <f>Sheet1!B84</f>
        <v>BANDUNG</v>
      </c>
      <c r="C84" t="str">
        <f>Sheet1!C84</f>
        <v>MASDAR</v>
      </c>
      <c r="D84" t="str">
        <f>Sheet1!D84</f>
        <v>ODRNO2607070130</v>
      </c>
      <c r="E84" t="str">
        <f>Sheet1!E84</f>
        <v>813PRS20260705181</v>
      </c>
      <c r="F84" t="str">
        <f>Sheet1!F84</f>
        <v>Sales Agent (SA)</v>
      </c>
      <c r="G84">
        <f>Sheet1!G84</f>
        <v>0</v>
      </c>
      <c r="H84">
        <f>Sheet1!H84</f>
        <v>0</v>
      </c>
      <c r="I84" t="str">
        <f>Sheet1!I84</f>
        <v>RAMDHAN FIRMANSYAH</v>
      </c>
      <c r="J84" s="2">
        <f>Sheet1!K84</f>
        <v>46210.575927743099</v>
      </c>
      <c r="K84" s="2">
        <f>Sheet1!L84</f>
        <v>46218.333372604196</v>
      </c>
      <c r="L84" t="str">
        <f>Sheet1!M84</f>
        <v>Prospect Cancel</v>
      </c>
      <c r="M84" t="str">
        <f>Sheet1!P84</f>
        <v>SUZUKI</v>
      </c>
      <c r="N84" t="str">
        <f>Sheet1!Q84</f>
        <v>2022</v>
      </c>
      <c r="O84">
        <f>Sheet1!AB84</f>
        <v>0</v>
      </c>
      <c r="P84" s="2">
        <f>Sheet1!AD84</f>
        <v>0</v>
      </c>
      <c r="Q84" t="str">
        <f>Sheet1!AI84</f>
        <v>INDRA PERMANA-426022</v>
      </c>
      <c r="R84" t="str">
        <f>Sheet1!AJ84</f>
        <v/>
      </c>
      <c r="S84" t="str">
        <f>Sheet1!AK84</f>
        <v>Cancel</v>
      </c>
      <c r="T84" t="str">
        <f>Sheet1!AL84</f>
        <v>SA</v>
      </c>
      <c r="U84">
        <f t="shared" si="1"/>
        <v>0</v>
      </c>
    </row>
    <row r="85" spans="1:21" x14ac:dyDescent="0.25">
      <c r="A85">
        <f>Sheet1!A85</f>
        <v>84</v>
      </c>
      <c r="B85" t="str">
        <f>Sheet1!B85</f>
        <v>BEKASI</v>
      </c>
      <c r="C85" t="str">
        <f>Sheet1!C85</f>
        <v>POLMAR LUMBAN GAOL</v>
      </c>
      <c r="D85" t="str">
        <f>Sheet1!D85</f>
        <v>ODRNO2607070112</v>
      </c>
      <c r="E85" t="str">
        <f>Sheet1!E85</f>
        <v>811PRS20260704593</v>
      </c>
      <c r="F85" t="str">
        <f>Sheet1!F85</f>
        <v>Sales Agent (SA)</v>
      </c>
      <c r="G85">
        <f>Sheet1!G85</f>
        <v>0</v>
      </c>
      <c r="H85">
        <f>Sheet1!H85</f>
        <v>0</v>
      </c>
      <c r="I85" t="str">
        <f>Sheet1!I85</f>
        <v>KURNIAWAN ARIBOWO</v>
      </c>
      <c r="J85" s="2">
        <f>Sheet1!K85</f>
        <v>46210.524706747703</v>
      </c>
      <c r="K85" s="2">
        <f>Sheet1!L85</f>
        <v>46218.333372604196</v>
      </c>
      <c r="L85" t="str">
        <f>Sheet1!M85</f>
        <v>Prospect Cancel</v>
      </c>
      <c r="M85" t="str">
        <f>Sheet1!P85</f>
        <v>TOYOTA</v>
      </c>
      <c r="N85" t="str">
        <f>Sheet1!Q85</f>
        <v>2019</v>
      </c>
      <c r="O85">
        <f>Sheet1!AB85</f>
        <v>0</v>
      </c>
      <c r="P85" s="2">
        <f>Sheet1!AD85</f>
        <v>0</v>
      </c>
      <c r="Q85" t="str">
        <f>Sheet1!AI85</f>
        <v>TONO FEBRIANTO PUTRA-126379</v>
      </c>
      <c r="R85" t="str">
        <f>Sheet1!AJ85</f>
        <v/>
      </c>
      <c r="S85" t="str">
        <f>Sheet1!AK85</f>
        <v>Cancel</v>
      </c>
      <c r="T85" t="str">
        <f>Sheet1!AL85</f>
        <v>SA</v>
      </c>
      <c r="U85">
        <f t="shared" si="1"/>
        <v>0</v>
      </c>
    </row>
    <row r="86" spans="1:21" x14ac:dyDescent="0.25">
      <c r="A86">
        <f>Sheet1!A86</f>
        <v>85</v>
      </c>
      <c r="B86" t="str">
        <f>Sheet1!B86</f>
        <v>BENGKULU</v>
      </c>
      <c r="C86" t="str">
        <f>Sheet1!C86</f>
        <v>gusti</v>
      </c>
      <c r="D86" t="str">
        <f>Sheet1!D86</f>
        <v>ODRNO2607070200</v>
      </c>
      <c r="E86" t="str">
        <f>Sheet1!E86</f>
        <v>809PRS20260701255</v>
      </c>
      <c r="F86" t="str">
        <f>Sheet1!F86</f>
        <v>Sales Agent (SA)</v>
      </c>
      <c r="G86">
        <f>Sheet1!G86</f>
        <v>0</v>
      </c>
      <c r="H86">
        <f>Sheet1!H86</f>
        <v>0</v>
      </c>
      <c r="I86" t="str">
        <f>Sheet1!I86</f>
        <v>ADE CHANDRA PANE</v>
      </c>
      <c r="J86" s="2">
        <f>Sheet1!K86</f>
        <v>46210.717367557903</v>
      </c>
      <c r="K86" s="2">
        <f>Sheet1!L86</f>
        <v>46218.333372604196</v>
      </c>
      <c r="L86" t="str">
        <f>Sheet1!M86</f>
        <v>Prospect Cancel</v>
      </c>
      <c r="M86" t="str">
        <f>Sheet1!P86</f>
        <v>DAIHATSU</v>
      </c>
      <c r="N86" t="str">
        <f>Sheet1!Q86</f>
        <v>2012</v>
      </c>
      <c r="O86">
        <f>Sheet1!AB86</f>
        <v>0</v>
      </c>
      <c r="P86" s="2">
        <f>Sheet1!AD86</f>
        <v>0</v>
      </c>
      <c r="Q86" t="str">
        <f>Sheet1!AI86</f>
        <v>ANITA TORISIA-126122</v>
      </c>
      <c r="R86" t="str">
        <f>Sheet1!AJ86</f>
        <v/>
      </c>
      <c r="S86" t="str">
        <f>Sheet1!AK86</f>
        <v>Cancel</v>
      </c>
      <c r="T86" t="str">
        <f>Sheet1!AL86</f>
        <v>SA</v>
      </c>
      <c r="U86">
        <f t="shared" si="1"/>
        <v>0</v>
      </c>
    </row>
    <row r="87" spans="1:21" x14ac:dyDescent="0.25">
      <c r="A87">
        <f>Sheet1!A87</f>
        <v>86</v>
      </c>
      <c r="B87" t="str">
        <f>Sheet1!B87</f>
        <v>BOGOR</v>
      </c>
      <c r="C87" t="str">
        <f>Sheet1!C87</f>
        <v>ANGGIE NATALIA SIREGAR</v>
      </c>
      <c r="D87" t="str">
        <f>Sheet1!D87</f>
        <v>ODRNO2607070001</v>
      </c>
      <c r="E87" t="str">
        <f>Sheet1!E87</f>
        <v>812PRS20260701293</v>
      </c>
      <c r="F87" t="str">
        <f>Sheet1!F87</f>
        <v>Sales Agent (SA)</v>
      </c>
      <c r="G87">
        <f>Sheet1!G87</f>
        <v>0</v>
      </c>
      <c r="H87">
        <f>Sheet1!H87</f>
        <v>0</v>
      </c>
      <c r="I87" t="str">
        <f>Sheet1!I87</f>
        <v>EKA SUNARYO</v>
      </c>
      <c r="J87" s="2">
        <f>Sheet1!K87</f>
        <v>46210.003594907401</v>
      </c>
      <c r="K87" s="2">
        <f>Sheet1!L87</f>
        <v>46210.336874270797</v>
      </c>
      <c r="L87" t="str">
        <f>Sheet1!M87</f>
        <v>Prospect Cancel</v>
      </c>
      <c r="M87" t="str">
        <f>Sheet1!P87</f>
        <v>TOYOTA</v>
      </c>
      <c r="N87" t="str">
        <f>Sheet1!Q87</f>
        <v>2018</v>
      </c>
      <c r="O87">
        <f>Sheet1!AB87</f>
        <v>0</v>
      </c>
      <c r="P87" s="2">
        <f>Sheet1!AD87</f>
        <v>0</v>
      </c>
      <c r="Q87" t="str">
        <f>Sheet1!AI87</f>
        <v>ADE DJOHARI-326169</v>
      </c>
      <c r="R87" t="str">
        <f>Sheet1!AJ87</f>
        <v/>
      </c>
      <c r="S87" t="str">
        <f>Sheet1!AK87</f>
        <v>Cancel</v>
      </c>
      <c r="T87" t="str">
        <f>Sheet1!AL87</f>
        <v>SA</v>
      </c>
      <c r="U87">
        <f t="shared" si="1"/>
        <v>0</v>
      </c>
    </row>
    <row r="88" spans="1:21" x14ac:dyDescent="0.25">
      <c r="A88">
        <f>Sheet1!A88</f>
        <v>87</v>
      </c>
      <c r="B88" t="str">
        <f>Sheet1!B88</f>
        <v>BOGOR</v>
      </c>
      <c r="C88" t="str">
        <f>Sheet1!C88</f>
        <v>ENDAH SUPRIYATI</v>
      </c>
      <c r="D88" t="str">
        <f>Sheet1!D88</f>
        <v>ODRNO2607070207</v>
      </c>
      <c r="E88" t="str">
        <f>Sheet1!E88</f>
        <v>812PRS20260701302</v>
      </c>
      <c r="F88" t="str">
        <f>Sheet1!F88</f>
        <v>Sales Agent (SA)</v>
      </c>
      <c r="G88">
        <f>Sheet1!G88</f>
        <v>0</v>
      </c>
      <c r="H88">
        <f>Sheet1!H88</f>
        <v>0</v>
      </c>
      <c r="I88" t="str">
        <f>Sheet1!I88</f>
        <v>EKA SUNARYO</v>
      </c>
      <c r="J88" s="2">
        <f>Sheet1!K88</f>
        <v>46210.738599733799</v>
      </c>
      <c r="K88" s="2">
        <f>Sheet1!L88</f>
        <v>46210.9097475694</v>
      </c>
      <c r="L88" t="str">
        <f>Sheet1!M88</f>
        <v>Prospect Cancel</v>
      </c>
      <c r="M88" t="str">
        <f>Sheet1!P88</f>
        <v>TOYOTA</v>
      </c>
      <c r="N88" t="str">
        <f>Sheet1!Q88</f>
        <v>2021</v>
      </c>
      <c r="O88">
        <f>Sheet1!AB88</f>
        <v>0</v>
      </c>
      <c r="P88" s="2">
        <f>Sheet1!AD88</f>
        <v>0</v>
      </c>
      <c r="Q88" t="str">
        <f>Sheet1!AI88</f>
        <v>AGUNG PAMBUDI-226147</v>
      </c>
      <c r="R88" t="str">
        <f>Sheet1!AJ88</f>
        <v/>
      </c>
      <c r="S88" t="str">
        <f>Sheet1!AK88</f>
        <v>Cancel</v>
      </c>
      <c r="T88" t="str">
        <f>Sheet1!AL88</f>
        <v>SA</v>
      </c>
      <c r="U88">
        <f t="shared" si="1"/>
        <v>0</v>
      </c>
    </row>
    <row r="89" spans="1:21" x14ac:dyDescent="0.25">
      <c r="A89">
        <f>Sheet1!A89</f>
        <v>88</v>
      </c>
      <c r="B89" t="str">
        <f>Sheet1!B89</f>
        <v>BOGOR</v>
      </c>
      <c r="C89" t="str">
        <f>Sheet1!C89</f>
        <v>ANDRI PRATAMA</v>
      </c>
      <c r="D89" t="str">
        <f>Sheet1!D89</f>
        <v>ODRNO2607070230</v>
      </c>
      <c r="E89" t="str">
        <f>Sheet1!E89</f>
        <v>812PRS20260701303</v>
      </c>
      <c r="F89" t="str">
        <f>Sheet1!F89</f>
        <v>Sales Agent (SA)</v>
      </c>
      <c r="G89">
        <f>Sheet1!G89</f>
        <v>0</v>
      </c>
      <c r="H89">
        <f>Sheet1!H89</f>
        <v>0</v>
      </c>
      <c r="I89" t="str">
        <f>Sheet1!I89</f>
        <v>SENJAYA BUDIMAN</v>
      </c>
      <c r="J89" s="2">
        <f>Sheet1!K89</f>
        <v>46210.953697766199</v>
      </c>
      <c r="K89" s="2">
        <f>Sheet1!L89</f>
        <v>46219.333346493098</v>
      </c>
      <c r="L89" t="str">
        <f>Sheet1!M89</f>
        <v>Prospect Cancel</v>
      </c>
      <c r="M89" t="str">
        <f>Sheet1!P89</f>
        <v>NISSAN</v>
      </c>
      <c r="N89" t="str">
        <f>Sheet1!Q89</f>
        <v>2011</v>
      </c>
      <c r="O89">
        <f>Sheet1!AB89</f>
        <v>0</v>
      </c>
      <c r="P89" s="2">
        <f>Sheet1!AD89</f>
        <v>0</v>
      </c>
      <c r="Q89" t="str">
        <f>Sheet1!AI89</f>
        <v>YUSUF MUTTAQIN-0626062</v>
      </c>
      <c r="R89" t="str">
        <f>Sheet1!AJ89</f>
        <v/>
      </c>
      <c r="S89" t="str">
        <f>Sheet1!AK89</f>
        <v>Cancel</v>
      </c>
      <c r="T89" t="str">
        <f>Sheet1!AL89</f>
        <v>SA</v>
      </c>
      <c r="U89">
        <f t="shared" si="1"/>
        <v>0</v>
      </c>
    </row>
    <row r="90" spans="1:21" x14ac:dyDescent="0.25">
      <c r="A90">
        <f>Sheet1!A90</f>
        <v>89</v>
      </c>
      <c r="B90" t="str">
        <f>Sheet1!B90</f>
        <v>LAMPUNG</v>
      </c>
      <c r="C90" t="str">
        <f>Sheet1!C90</f>
        <v>mars yaris nazar</v>
      </c>
      <c r="D90" t="str">
        <f>Sheet1!D90</f>
        <v>ODRNO2607070122</v>
      </c>
      <c r="E90" t="str">
        <f>Sheet1!E90</f>
        <v>810PRS20260700675</v>
      </c>
      <c r="F90" t="str">
        <f>Sheet1!F90</f>
        <v>Sales Agent (SA)</v>
      </c>
      <c r="G90">
        <f>Sheet1!G90</f>
        <v>0</v>
      </c>
      <c r="H90">
        <f>Sheet1!H90</f>
        <v>0</v>
      </c>
      <c r="I90" t="str">
        <f>Sheet1!I90</f>
        <v>AZWAN</v>
      </c>
      <c r="J90" s="2">
        <f>Sheet1!K90</f>
        <v>46210.555620567102</v>
      </c>
      <c r="K90" s="2">
        <f>Sheet1!L90</f>
        <v>46219.333346493098</v>
      </c>
      <c r="L90" t="str">
        <f>Sheet1!M90</f>
        <v>Prospect Cancel</v>
      </c>
      <c r="M90" t="str">
        <f>Sheet1!P90</f>
        <v>TOYOTA</v>
      </c>
      <c r="N90" t="str">
        <f>Sheet1!Q90</f>
        <v>2020</v>
      </c>
      <c r="O90">
        <f>Sheet1!AB90</f>
        <v>0</v>
      </c>
      <c r="P90" s="2">
        <f>Sheet1!AD90</f>
        <v>0</v>
      </c>
      <c r="Q90" t="str">
        <f>Sheet1!AI90</f>
        <v>REGY YUDHISTIRA BRILLIAN-126176</v>
      </c>
      <c r="R90" t="str">
        <f>Sheet1!AJ90</f>
        <v/>
      </c>
      <c r="S90" t="str">
        <f>Sheet1!AK90</f>
        <v>Cancel</v>
      </c>
      <c r="T90" t="str">
        <f>Sheet1!AL90</f>
        <v>SA</v>
      </c>
      <c r="U90">
        <f t="shared" si="1"/>
        <v>0</v>
      </c>
    </row>
    <row r="91" spans="1:21" x14ac:dyDescent="0.25">
      <c r="A91">
        <f>Sheet1!A91</f>
        <v>90</v>
      </c>
      <c r="B91" t="str">
        <f>Sheet1!B91</f>
        <v>LAMPUNG</v>
      </c>
      <c r="C91" t="str">
        <f>Sheet1!C91</f>
        <v>hadi wibowo</v>
      </c>
      <c r="D91" t="str">
        <f>Sheet1!D91</f>
        <v>ODRNO2607070183</v>
      </c>
      <c r="E91" t="str">
        <f>Sheet1!E91</f>
        <v>810PRS20260700679</v>
      </c>
      <c r="F91" t="str">
        <f>Sheet1!F91</f>
        <v>Sales Agent (SA)</v>
      </c>
      <c r="G91">
        <f>Sheet1!G91</f>
        <v>0</v>
      </c>
      <c r="H91">
        <f>Sheet1!H91</f>
        <v>0</v>
      </c>
      <c r="I91" t="str">
        <f>Sheet1!I91</f>
        <v>AZWAN</v>
      </c>
      <c r="J91" s="2">
        <f>Sheet1!K91</f>
        <v>46210.660467789297</v>
      </c>
      <c r="K91" s="2">
        <f>Sheet1!L91</f>
        <v>46219.333346493098</v>
      </c>
      <c r="L91" t="str">
        <f>Sheet1!M91</f>
        <v>Prospect Cancel</v>
      </c>
      <c r="M91" t="str">
        <f>Sheet1!P91</f>
        <v>TOYOTA</v>
      </c>
      <c r="N91" t="str">
        <f>Sheet1!Q91</f>
        <v>2015</v>
      </c>
      <c r="O91">
        <f>Sheet1!AB91</f>
        <v>0</v>
      </c>
      <c r="P91" s="2">
        <f>Sheet1!AD91</f>
        <v>0</v>
      </c>
      <c r="Q91" t="str">
        <f>Sheet1!AI91</f>
        <v>DAENG MAREWA-126237</v>
      </c>
      <c r="R91" t="str">
        <f>Sheet1!AJ91</f>
        <v/>
      </c>
      <c r="S91" t="str">
        <f>Sheet1!AK91</f>
        <v>Cancel</v>
      </c>
      <c r="T91" t="str">
        <f>Sheet1!AL91</f>
        <v>SA</v>
      </c>
      <c r="U91">
        <f t="shared" si="1"/>
        <v>0</v>
      </c>
    </row>
    <row r="92" spans="1:21" x14ac:dyDescent="0.25">
      <c r="A92">
        <f>Sheet1!A92</f>
        <v>91</v>
      </c>
      <c r="B92" t="str">
        <f>Sheet1!B92</f>
        <v>MANADO</v>
      </c>
      <c r="C92" t="str">
        <f>Sheet1!C92</f>
        <v>RIKO TUNAS</v>
      </c>
      <c r="D92" t="str">
        <f>Sheet1!D92</f>
        <v>ODRNO2607070117</v>
      </c>
      <c r="E92" t="str">
        <f>Sheet1!E92</f>
        <v>828PRS20260700333</v>
      </c>
      <c r="F92" t="str">
        <f>Sheet1!F92</f>
        <v>Sales Agent (SA)</v>
      </c>
      <c r="G92">
        <f>Sheet1!G92</f>
        <v>0</v>
      </c>
      <c r="H92">
        <f>Sheet1!H92</f>
        <v>0</v>
      </c>
      <c r="I92" t="str">
        <f>Sheet1!I92</f>
        <v>BATIN E TUWUILU</v>
      </c>
      <c r="J92" s="2">
        <f>Sheet1!K92</f>
        <v>46210.544156284697</v>
      </c>
      <c r="K92" s="2">
        <f>Sheet1!L92</f>
        <v>46218.333372604196</v>
      </c>
      <c r="L92" t="str">
        <f>Sheet1!M92</f>
        <v>Prospect Cancel</v>
      </c>
      <c r="M92" t="str">
        <f>Sheet1!P92</f>
        <v>TOYOTA</v>
      </c>
      <c r="N92" t="str">
        <f>Sheet1!Q92</f>
        <v>2023</v>
      </c>
      <c r="O92">
        <f>Sheet1!AB92</f>
        <v>0</v>
      </c>
      <c r="P92" s="2">
        <f>Sheet1!AD92</f>
        <v>0</v>
      </c>
      <c r="Q92" t="str">
        <f>Sheet1!AI92</f>
        <v>MEIDY JUFRY RIANTO SENEWE-0626009</v>
      </c>
      <c r="R92" t="str">
        <f>Sheet1!AJ92</f>
        <v/>
      </c>
      <c r="S92" t="str">
        <f>Sheet1!AK92</f>
        <v>Cancel</v>
      </c>
      <c r="T92" t="str">
        <f>Sheet1!AL92</f>
        <v>SA</v>
      </c>
      <c r="U92">
        <f t="shared" si="1"/>
        <v>0</v>
      </c>
    </row>
    <row r="93" spans="1:21" x14ac:dyDescent="0.25">
      <c r="A93">
        <f>Sheet1!A93</f>
        <v>92</v>
      </c>
      <c r="B93" t="str">
        <f>Sheet1!B93</f>
        <v>PALANGKARAYA</v>
      </c>
      <c r="C93" t="str">
        <f>Sheet1!C93</f>
        <v>Hernando</v>
      </c>
      <c r="D93" t="str">
        <f>Sheet1!D93</f>
        <v>ODRNO2607070017</v>
      </c>
      <c r="E93" t="str">
        <f>Sheet1!E93</f>
        <v>829PRS20260701793</v>
      </c>
      <c r="F93" t="str">
        <f>Sheet1!F93</f>
        <v>Sales Agent (SA)</v>
      </c>
      <c r="G93" t="str">
        <f>Sheet1!G93</f>
        <v>8291022600002</v>
      </c>
      <c r="H93" t="str">
        <f>Sheet1!H93</f>
        <v>829APP20260700014</v>
      </c>
      <c r="I93" t="str">
        <f>Sheet1!I93</f>
        <v>M RIZKO MAULANA</v>
      </c>
      <c r="J93" s="2">
        <f>Sheet1!K93</f>
        <v>46210.356279664396</v>
      </c>
      <c r="K93" s="2">
        <f>Sheet1!L93</f>
        <v>46211.610899502302</v>
      </c>
      <c r="L93" t="str">
        <f>Sheet1!M93</f>
        <v>Go Live</v>
      </c>
      <c r="M93" t="str">
        <f>Sheet1!P93</f>
        <v>TOYOTA</v>
      </c>
      <c r="N93" t="str">
        <f>Sheet1!Q93</f>
        <v>2020</v>
      </c>
      <c r="O93">
        <f>Sheet1!AB93</f>
        <v>114406000</v>
      </c>
      <c r="P93" s="2">
        <f>Sheet1!AD93</f>
        <v>46211</v>
      </c>
      <c r="Q93" t="str">
        <f>Sheet1!AI93</f>
        <v>EDI SUSILO-126242</v>
      </c>
      <c r="R93" t="str">
        <f>Sheet1!AJ93</f>
        <v/>
      </c>
      <c r="S93" t="str">
        <f>Sheet1!AK93</f>
        <v>Golive</v>
      </c>
      <c r="T93" t="str">
        <f>Sheet1!AL93</f>
        <v>SA</v>
      </c>
      <c r="U93" t="str">
        <f t="shared" si="1"/>
        <v>Done Survey</v>
      </c>
    </row>
    <row r="94" spans="1:21" x14ac:dyDescent="0.25">
      <c r="A94">
        <f>Sheet1!A94</f>
        <v>93</v>
      </c>
      <c r="B94" t="str">
        <f>Sheet1!B94</f>
        <v>PALEMBANG</v>
      </c>
      <c r="C94" t="str">
        <f>Sheet1!C94</f>
        <v>MUHAMMAD SULTAN</v>
      </c>
      <c r="D94" t="str">
        <f>Sheet1!D94</f>
        <v>ODRNO2607070058</v>
      </c>
      <c r="E94" t="str">
        <f>Sheet1!E94</f>
        <v>808PRS20260701763</v>
      </c>
      <c r="F94" t="str">
        <f>Sheet1!F94</f>
        <v>Sales Agent (SA)</v>
      </c>
      <c r="G94" t="str">
        <f>Sheet1!G94</f>
        <v>8081032600013</v>
      </c>
      <c r="H94" t="str">
        <f>Sheet1!H94</f>
        <v>808APP20260700023</v>
      </c>
      <c r="I94" t="str">
        <f>Sheet1!I94</f>
        <v>FEBI ARISANDI SH</v>
      </c>
      <c r="J94" s="2">
        <f>Sheet1!K94</f>
        <v>46210.419440358797</v>
      </c>
      <c r="K94" s="2">
        <f>Sheet1!L94</f>
        <v>46212.602643865699</v>
      </c>
      <c r="L94" t="str">
        <f>Sheet1!M94</f>
        <v>Go Live</v>
      </c>
      <c r="M94" t="str">
        <f>Sheet1!P94</f>
        <v>TOYOTA</v>
      </c>
      <c r="N94" t="str">
        <f>Sheet1!Q94</f>
        <v>2018</v>
      </c>
      <c r="O94">
        <f>Sheet1!AB94</f>
        <v>113115000</v>
      </c>
      <c r="P94" s="2">
        <f>Sheet1!AD94</f>
        <v>46212</v>
      </c>
      <c r="Q94" t="str">
        <f>Sheet1!AI94</f>
        <v>WAHYU HIDAYAT-226081</v>
      </c>
      <c r="R94" t="str">
        <f>Sheet1!AJ94</f>
        <v/>
      </c>
      <c r="S94" t="str">
        <f>Sheet1!AK94</f>
        <v>Golive</v>
      </c>
      <c r="T94" t="str">
        <f>Sheet1!AL94</f>
        <v>SA</v>
      </c>
      <c r="U94" t="str">
        <f t="shared" si="1"/>
        <v>Done Survey</v>
      </c>
    </row>
    <row r="95" spans="1:21" x14ac:dyDescent="0.25">
      <c r="A95">
        <f>Sheet1!A95</f>
        <v>94</v>
      </c>
      <c r="B95" t="str">
        <f>Sheet1!B95</f>
        <v>PONTIANAK</v>
      </c>
      <c r="C95" t="str">
        <f>Sheet1!C95</f>
        <v>NOVENDRA</v>
      </c>
      <c r="D95" t="str">
        <f>Sheet1!D95</f>
        <v>ODRNO2607070088</v>
      </c>
      <c r="E95" t="str">
        <f>Sheet1!E95</f>
        <v>822PRS20260700391</v>
      </c>
      <c r="F95" t="str">
        <f>Sheet1!F95</f>
        <v>Telemarketing Program</v>
      </c>
      <c r="G95">
        <f>Sheet1!G95</f>
        <v>0</v>
      </c>
      <c r="H95">
        <f>Sheet1!H95</f>
        <v>0</v>
      </c>
      <c r="I95" t="str">
        <f>Sheet1!I95</f>
        <v>SO SYOPIYAN</v>
      </c>
      <c r="J95" s="2">
        <f>Sheet1!K95</f>
        <v>46210.487512534703</v>
      </c>
      <c r="K95" s="2">
        <f>Sheet1!L95</f>
        <v>46218.333372604196</v>
      </c>
      <c r="L95" t="str">
        <f>Sheet1!M95</f>
        <v>Prospect Cancel</v>
      </c>
      <c r="M95" t="str">
        <f>Sheet1!P95</f>
        <v>MITSUBISHI</v>
      </c>
      <c r="N95" t="str">
        <f>Sheet1!Q95</f>
        <v>2023</v>
      </c>
      <c r="O95">
        <f>Sheet1!AB95</f>
        <v>0</v>
      </c>
      <c r="P95" s="2">
        <f>Sheet1!AD95</f>
        <v>0</v>
      </c>
      <c r="Q95">
        <f>Sheet1!AI95</f>
        <v>0</v>
      </c>
      <c r="R95">
        <f>Sheet1!AJ95</f>
        <v>0</v>
      </c>
      <c r="S95" t="str">
        <f>Sheet1!AK95</f>
        <v>Cancel</v>
      </c>
      <c r="T95" t="str">
        <f>Sheet1!AL95</f>
        <v>Tele</v>
      </c>
      <c r="U95">
        <f t="shared" si="1"/>
        <v>0</v>
      </c>
    </row>
    <row r="96" spans="1:21" x14ac:dyDescent="0.25">
      <c r="A96">
        <f>Sheet1!A96</f>
        <v>95</v>
      </c>
      <c r="B96" t="str">
        <f>Sheet1!B96</f>
        <v>ALAM SUTERA</v>
      </c>
      <c r="C96" t="str">
        <f>Sheet1!C96</f>
        <v>OKSAN</v>
      </c>
      <c r="D96" t="str">
        <f>Sheet1!D96</f>
        <v>ODRNO2607080057</v>
      </c>
      <c r="E96" t="str">
        <f>Sheet1!E96</f>
        <v>838PRS20260702478</v>
      </c>
      <c r="F96" t="str">
        <f>Sheet1!F96</f>
        <v>Sales Agent (SA)</v>
      </c>
      <c r="G96">
        <f>Sheet1!G96</f>
        <v>0</v>
      </c>
      <c r="H96">
        <f>Sheet1!H96</f>
        <v>0</v>
      </c>
      <c r="I96" t="str">
        <f>Sheet1!I96</f>
        <v>IBRAHIM AZIZ</v>
      </c>
      <c r="J96" s="2">
        <f>Sheet1!K96</f>
        <v>46211.412158483799</v>
      </c>
      <c r="K96" s="2">
        <f>Sheet1!L96</f>
        <v>46211.423777465301</v>
      </c>
      <c r="L96" t="str">
        <f>Sheet1!M96</f>
        <v>Prospect Cancel</v>
      </c>
      <c r="M96" t="str">
        <f>Sheet1!P96</f>
        <v>HONDA</v>
      </c>
      <c r="N96" t="str">
        <f>Sheet1!Q96</f>
        <v>2018</v>
      </c>
      <c r="O96">
        <f>Sheet1!AB96</f>
        <v>0</v>
      </c>
      <c r="P96" s="2">
        <f>Sheet1!AD96</f>
        <v>0</v>
      </c>
      <c r="Q96" t="str">
        <f>Sheet1!AI96</f>
        <v>APRILLIA ANGGRAENI-126005</v>
      </c>
      <c r="R96" t="str">
        <f>Sheet1!AJ96</f>
        <v/>
      </c>
      <c r="S96" t="str">
        <f>Sheet1!AK96</f>
        <v>Cancel</v>
      </c>
      <c r="T96" t="str">
        <f>Sheet1!AL96</f>
        <v>SA</v>
      </c>
      <c r="U96">
        <f t="shared" si="1"/>
        <v>0</v>
      </c>
    </row>
    <row r="97" spans="1:21" x14ac:dyDescent="0.25">
      <c r="A97">
        <f>Sheet1!A97</f>
        <v>96</v>
      </c>
      <c r="B97" t="str">
        <f>Sheet1!B97</f>
        <v>ALAM SUTERA</v>
      </c>
      <c r="C97" t="str">
        <f>Sheet1!C97</f>
        <v>MELANIA</v>
      </c>
      <c r="D97" t="str">
        <f>Sheet1!D97</f>
        <v>ODRNO2607080061</v>
      </c>
      <c r="E97" t="str">
        <f>Sheet1!E97</f>
        <v>838PRS20260702480</v>
      </c>
      <c r="F97" t="str">
        <f>Sheet1!F97</f>
        <v>Sales Agent (SA)</v>
      </c>
      <c r="G97">
        <f>Sheet1!G97</f>
        <v>0</v>
      </c>
      <c r="H97">
        <f>Sheet1!H97</f>
        <v>0</v>
      </c>
      <c r="I97" t="str">
        <f>Sheet1!I97</f>
        <v>IBRAHIM AZIZ</v>
      </c>
      <c r="J97" s="2">
        <f>Sheet1!K97</f>
        <v>46211.414488506904</v>
      </c>
      <c r="K97" s="2">
        <f>Sheet1!L97</f>
        <v>46219.333346493098</v>
      </c>
      <c r="L97" t="str">
        <f>Sheet1!M97</f>
        <v>Prospect Cancel</v>
      </c>
      <c r="M97" t="str">
        <f>Sheet1!P97</f>
        <v>TOYOTA</v>
      </c>
      <c r="N97" t="str">
        <f>Sheet1!Q97</f>
        <v>2018</v>
      </c>
      <c r="O97">
        <f>Sheet1!AB97</f>
        <v>0</v>
      </c>
      <c r="P97" s="2">
        <f>Sheet1!AD97</f>
        <v>0</v>
      </c>
      <c r="Q97" t="str">
        <f>Sheet1!AI97</f>
        <v>APRILLIA ANGGRAENI-126005</v>
      </c>
      <c r="R97" t="str">
        <f>Sheet1!AJ97</f>
        <v/>
      </c>
      <c r="S97" t="str">
        <f>Sheet1!AK97</f>
        <v>Cancel</v>
      </c>
      <c r="T97" t="str">
        <f>Sheet1!AL97</f>
        <v>SA</v>
      </c>
      <c r="U97">
        <f t="shared" si="1"/>
        <v>0</v>
      </c>
    </row>
    <row r="98" spans="1:21" x14ac:dyDescent="0.25">
      <c r="A98">
        <f>Sheet1!A98</f>
        <v>97</v>
      </c>
      <c r="B98" t="str">
        <f>Sheet1!B98</f>
        <v>ALAM SUTERA</v>
      </c>
      <c r="C98" t="str">
        <f>Sheet1!C98</f>
        <v>FADLI ZAMZAMI</v>
      </c>
      <c r="D98" t="str">
        <f>Sheet1!D98</f>
        <v>ODRNO2607080072</v>
      </c>
      <c r="E98" t="str">
        <f>Sheet1!E98</f>
        <v>838PRS20260702483</v>
      </c>
      <c r="F98" t="str">
        <f>Sheet1!F98</f>
        <v>Sales Agent (SA)</v>
      </c>
      <c r="G98">
        <f>Sheet1!G98</f>
        <v>0</v>
      </c>
      <c r="H98">
        <f>Sheet1!H98</f>
        <v>0</v>
      </c>
      <c r="I98" t="str">
        <f>Sheet1!I98</f>
        <v>IBRAHIM AZIZ</v>
      </c>
      <c r="J98" s="2">
        <f>Sheet1!K98</f>
        <v>46211.439078124997</v>
      </c>
      <c r="K98" s="2">
        <f>Sheet1!L98</f>
        <v>46219.333346493098</v>
      </c>
      <c r="L98" t="str">
        <f>Sheet1!M98</f>
        <v>Prospect Cancel</v>
      </c>
      <c r="M98" t="str">
        <f>Sheet1!P98</f>
        <v>TOYOTA</v>
      </c>
      <c r="N98" t="str">
        <f>Sheet1!Q98</f>
        <v>2019</v>
      </c>
      <c r="O98">
        <f>Sheet1!AB98</f>
        <v>0</v>
      </c>
      <c r="P98" s="2">
        <f>Sheet1!AD98</f>
        <v>0</v>
      </c>
      <c r="Q98" t="str">
        <f>Sheet1!AI98</f>
        <v>DEDE SURYADI-126003</v>
      </c>
      <c r="R98" t="str">
        <f>Sheet1!AJ98</f>
        <v/>
      </c>
      <c r="S98" t="str">
        <f>Sheet1!AK98</f>
        <v>Cancel</v>
      </c>
      <c r="T98" t="str">
        <f>Sheet1!AL98</f>
        <v>SA</v>
      </c>
      <c r="U98">
        <f t="shared" si="1"/>
        <v>0</v>
      </c>
    </row>
    <row r="99" spans="1:21" x14ac:dyDescent="0.25">
      <c r="A99">
        <f>Sheet1!A99</f>
        <v>98</v>
      </c>
      <c r="B99" t="str">
        <f>Sheet1!B99</f>
        <v>ALAM SUTERA</v>
      </c>
      <c r="C99" t="str">
        <f>Sheet1!C99</f>
        <v>SUPARDIYONO</v>
      </c>
      <c r="D99" t="str">
        <f>Sheet1!D99</f>
        <v>ODRNO2607080121</v>
      </c>
      <c r="E99" t="str">
        <f>Sheet1!E99</f>
        <v>838PRS20260702487</v>
      </c>
      <c r="F99" t="str">
        <f>Sheet1!F99</f>
        <v>Sales Agent (SA)</v>
      </c>
      <c r="G99" t="str">
        <f>Sheet1!G99</f>
        <v>8381022600038</v>
      </c>
      <c r="H99" t="str">
        <f>Sheet1!H99</f>
        <v>838APP20260700032</v>
      </c>
      <c r="I99" t="str">
        <f>Sheet1!I99</f>
        <v>IBRAHIM AZIZ</v>
      </c>
      <c r="J99" s="2">
        <f>Sheet1!K99</f>
        <v>46211.552883101896</v>
      </c>
      <c r="K99" s="2">
        <f>Sheet1!L99</f>
        <v>46214.478939317101</v>
      </c>
      <c r="L99" t="str">
        <f>Sheet1!M99</f>
        <v>Go Live</v>
      </c>
      <c r="M99" t="str">
        <f>Sheet1!P99</f>
        <v>SUZUKI</v>
      </c>
      <c r="N99" t="str">
        <f>Sheet1!Q99</f>
        <v>2014</v>
      </c>
      <c r="O99">
        <f>Sheet1!AB99</f>
        <v>32625500</v>
      </c>
      <c r="P99" s="2">
        <f>Sheet1!AD99</f>
        <v>46214</v>
      </c>
      <c r="Q99" t="str">
        <f>Sheet1!AI99</f>
        <v>APRILLIA ANGGRAENI-126005</v>
      </c>
      <c r="R99" t="str">
        <f>Sheet1!AJ99</f>
        <v/>
      </c>
      <c r="S99" t="str">
        <f>Sheet1!AK99</f>
        <v>Golive</v>
      </c>
      <c r="T99" t="str">
        <f>Sheet1!AL99</f>
        <v>SA</v>
      </c>
      <c r="U99" t="str">
        <f t="shared" si="1"/>
        <v>Done Survey</v>
      </c>
    </row>
    <row r="100" spans="1:21" x14ac:dyDescent="0.25">
      <c r="A100">
        <f>Sheet1!A100</f>
        <v>99</v>
      </c>
      <c r="B100" t="str">
        <f>Sheet1!B100</f>
        <v>ALAM SUTERA</v>
      </c>
      <c r="C100" t="str">
        <f>Sheet1!C100</f>
        <v>ERWIN TANJUNG</v>
      </c>
      <c r="D100" t="str">
        <f>Sheet1!D100</f>
        <v>ODRNO2607080173</v>
      </c>
      <c r="E100" t="str">
        <f>Sheet1!E100</f>
        <v>838PRS20260702488</v>
      </c>
      <c r="F100" t="str">
        <f>Sheet1!F100</f>
        <v>Sales Agent (SA)</v>
      </c>
      <c r="G100">
        <f>Sheet1!G100</f>
        <v>0</v>
      </c>
      <c r="H100" t="str">
        <f>Sheet1!H100</f>
        <v>838APP20260700033</v>
      </c>
      <c r="I100" t="str">
        <f>Sheet1!I100</f>
        <v>IBRAHIM AZIZ</v>
      </c>
      <c r="J100" s="2">
        <f>Sheet1!K100</f>
        <v>46211.647965127297</v>
      </c>
      <c r="K100" s="2">
        <f>Sheet1!L100</f>
        <v>46214.516936111097</v>
      </c>
      <c r="L100" t="str">
        <f>Sheet1!M100</f>
        <v>Return Handling</v>
      </c>
      <c r="M100" t="str">
        <f>Sheet1!P100</f>
        <v>TOYOTA</v>
      </c>
      <c r="N100" t="str">
        <f>Sheet1!Q100</f>
        <v>2018</v>
      </c>
      <c r="O100">
        <f>Sheet1!AB100</f>
        <v>0</v>
      </c>
      <c r="P100" s="2">
        <f>Sheet1!AD100</f>
        <v>46214</v>
      </c>
      <c r="Q100" t="str">
        <f>Sheet1!AI100</f>
        <v>APRILLIA ANGGRAENI-126005</v>
      </c>
      <c r="R100" t="str">
        <f>Sheet1!AJ100</f>
        <v/>
      </c>
      <c r="S100" t="str">
        <f>Sheet1!AK100</f>
        <v>In Proses</v>
      </c>
      <c r="T100" t="str">
        <f>Sheet1!AL100</f>
        <v>SA</v>
      </c>
      <c r="U100" t="str">
        <f t="shared" si="1"/>
        <v>Done Survey</v>
      </c>
    </row>
    <row r="101" spans="1:21" x14ac:dyDescent="0.25">
      <c r="A101">
        <f>Sheet1!A101</f>
        <v>100</v>
      </c>
      <c r="B101" t="str">
        <f>Sheet1!B101</f>
        <v>BANDUNG</v>
      </c>
      <c r="C101" t="str">
        <f>Sheet1!C101</f>
        <v>Seno Bumi Munajat</v>
      </c>
      <c r="D101" t="str">
        <f>Sheet1!D101</f>
        <v>ODRNO2607080089</v>
      </c>
      <c r="E101" t="str">
        <f>Sheet1!E101</f>
        <v>813PRS20260705211</v>
      </c>
      <c r="F101" t="str">
        <f>Sheet1!F101</f>
        <v>Sales Agent (SA)</v>
      </c>
      <c r="G101">
        <f>Sheet1!G101</f>
        <v>0</v>
      </c>
      <c r="H101">
        <f>Sheet1!H101</f>
        <v>0</v>
      </c>
      <c r="I101" t="str">
        <f>Sheet1!I101</f>
        <v>RISKI DALNI</v>
      </c>
      <c r="J101" s="2">
        <f>Sheet1!K101</f>
        <v>46211.480472569398</v>
      </c>
      <c r="K101" s="2">
        <f>Sheet1!L101</f>
        <v>46211.487087581001</v>
      </c>
      <c r="L101" t="str">
        <f>Sheet1!M101</f>
        <v>Prospect Cancel</v>
      </c>
      <c r="M101" t="str">
        <f>Sheet1!P101</f>
        <v>TOYOTA</v>
      </c>
      <c r="N101" t="str">
        <f>Sheet1!Q101</f>
        <v>2012</v>
      </c>
      <c r="O101">
        <f>Sheet1!AB101</f>
        <v>0</v>
      </c>
      <c r="P101" s="2">
        <f>Sheet1!AD101</f>
        <v>0</v>
      </c>
      <c r="Q101" t="str">
        <f>Sheet1!AI101</f>
        <v>AHMAD ZAENI-0626025</v>
      </c>
      <c r="R101" t="str">
        <f>Sheet1!AJ101</f>
        <v/>
      </c>
      <c r="S101" t="str">
        <f>Sheet1!AK101</f>
        <v>Cancel</v>
      </c>
      <c r="T101" t="str">
        <f>Sheet1!AL101</f>
        <v>SA</v>
      </c>
      <c r="U101">
        <f t="shared" si="1"/>
        <v>0</v>
      </c>
    </row>
    <row r="102" spans="1:21" x14ac:dyDescent="0.25">
      <c r="A102">
        <f>Sheet1!A102</f>
        <v>101</v>
      </c>
      <c r="B102" t="str">
        <f>Sheet1!B102</f>
        <v>BANDUNG</v>
      </c>
      <c r="C102" t="str">
        <f>Sheet1!C102</f>
        <v>H MUHAMMAD DARMAWAN</v>
      </c>
      <c r="D102" t="str">
        <f>Sheet1!D102</f>
        <v>ODRNO2607080125</v>
      </c>
      <c r="E102" t="str">
        <f>Sheet1!E102</f>
        <v>813PRS20260705215</v>
      </c>
      <c r="F102" t="str">
        <f>Sheet1!F102</f>
        <v>Sales Agent (SA)</v>
      </c>
      <c r="G102">
        <f>Sheet1!G102</f>
        <v>0</v>
      </c>
      <c r="H102">
        <f>Sheet1!H102</f>
        <v>0</v>
      </c>
      <c r="I102" t="str">
        <f>Sheet1!I102</f>
        <v>RAMDHAN FIRMANSYAH</v>
      </c>
      <c r="J102" s="2">
        <f>Sheet1!K102</f>
        <v>46211.574076585603</v>
      </c>
      <c r="K102" s="2">
        <f>Sheet1!L102</f>
        <v>46211.5869457523</v>
      </c>
      <c r="L102" t="str">
        <f>Sheet1!M102</f>
        <v>Prospect Cancel</v>
      </c>
      <c r="M102" t="str">
        <f>Sheet1!P102</f>
        <v>TOYOTA</v>
      </c>
      <c r="N102" t="str">
        <f>Sheet1!Q102</f>
        <v>2014</v>
      </c>
      <c r="O102">
        <f>Sheet1!AB102</f>
        <v>0</v>
      </c>
      <c r="P102" s="2">
        <f>Sheet1!AD102</f>
        <v>0</v>
      </c>
      <c r="Q102" t="str">
        <f>Sheet1!AI102</f>
        <v>MUHAMAD ADRI ABIDARDA-126390</v>
      </c>
      <c r="R102" t="str">
        <f>Sheet1!AJ102</f>
        <v/>
      </c>
      <c r="S102" t="str">
        <f>Sheet1!AK102</f>
        <v>Cancel</v>
      </c>
      <c r="T102" t="str">
        <f>Sheet1!AL102</f>
        <v>SA</v>
      </c>
      <c r="U102">
        <f t="shared" si="1"/>
        <v>0</v>
      </c>
    </row>
    <row r="103" spans="1:21" x14ac:dyDescent="0.25">
      <c r="A103">
        <f>Sheet1!A103</f>
        <v>102</v>
      </c>
      <c r="B103" t="str">
        <f>Sheet1!B103</f>
        <v>BEKASI</v>
      </c>
      <c r="C103" t="str">
        <f>Sheet1!C103</f>
        <v>ENDY SETYA</v>
      </c>
      <c r="D103" t="str">
        <f>Sheet1!D103</f>
        <v>ODRNO2607080062</v>
      </c>
      <c r="E103" t="str">
        <f>Sheet1!E103</f>
        <v>811PRS20260704619</v>
      </c>
      <c r="F103" t="str">
        <f>Sheet1!F103</f>
        <v>Sales Agent (SA)</v>
      </c>
      <c r="G103">
        <f>Sheet1!G103</f>
        <v>0</v>
      </c>
      <c r="H103">
        <f>Sheet1!H103</f>
        <v>0</v>
      </c>
      <c r="I103" t="str">
        <f>Sheet1!I103</f>
        <v>KURNIAWAN ARIBOWO</v>
      </c>
      <c r="J103" s="2">
        <f>Sheet1!K103</f>
        <v>46211.415734722199</v>
      </c>
      <c r="K103" s="2">
        <f>Sheet1!L103</f>
        <v>46219.333346493098</v>
      </c>
      <c r="L103" t="str">
        <f>Sheet1!M103</f>
        <v>Prospect Cancel</v>
      </c>
      <c r="M103" t="str">
        <f>Sheet1!P103</f>
        <v>TOYOTA</v>
      </c>
      <c r="N103" t="str">
        <f>Sheet1!Q103</f>
        <v>2018</v>
      </c>
      <c r="O103">
        <f>Sheet1!AB103</f>
        <v>0</v>
      </c>
      <c r="P103" s="2">
        <f>Sheet1!AD103</f>
        <v>0</v>
      </c>
      <c r="Q103" t="str">
        <f>Sheet1!AI103</f>
        <v>TONO FEBRIANTO PUTRA-126379</v>
      </c>
      <c r="R103" t="str">
        <f>Sheet1!AJ103</f>
        <v/>
      </c>
      <c r="S103" t="str">
        <f>Sheet1!AK103</f>
        <v>Cancel</v>
      </c>
      <c r="T103" t="str">
        <f>Sheet1!AL103</f>
        <v>SA</v>
      </c>
      <c r="U103">
        <f t="shared" si="1"/>
        <v>0</v>
      </c>
    </row>
    <row r="104" spans="1:21" x14ac:dyDescent="0.25">
      <c r="A104">
        <f>Sheet1!A104</f>
        <v>103</v>
      </c>
      <c r="B104" t="str">
        <f>Sheet1!B104</f>
        <v>BEKASI</v>
      </c>
      <c r="C104" t="str">
        <f>Sheet1!C104</f>
        <v>MUHAMAD MAHPUD</v>
      </c>
      <c r="D104" t="str">
        <f>Sheet1!D104</f>
        <v>ODRNO2607080180</v>
      </c>
      <c r="E104" t="str">
        <f>Sheet1!E104</f>
        <v>811PRS20260704630</v>
      </c>
      <c r="F104" t="str">
        <f>Sheet1!F104</f>
        <v>Sales Agent (SA)</v>
      </c>
      <c r="G104">
        <f>Sheet1!G104</f>
        <v>0</v>
      </c>
      <c r="H104">
        <f>Sheet1!H104</f>
        <v>0</v>
      </c>
      <c r="I104" t="str">
        <f>Sheet1!I104</f>
        <v>KURNIAWAN ARIBOWO</v>
      </c>
      <c r="J104" s="2">
        <f>Sheet1!K104</f>
        <v>46211.654248726903</v>
      </c>
      <c r="K104" s="2">
        <f>Sheet1!L104</f>
        <v>46219.333346493098</v>
      </c>
      <c r="L104" t="str">
        <f>Sheet1!M104</f>
        <v>Prospect Cancel</v>
      </c>
      <c r="M104" t="str">
        <f>Sheet1!P104</f>
        <v>HONDA</v>
      </c>
      <c r="N104" t="str">
        <f>Sheet1!Q104</f>
        <v>2019</v>
      </c>
      <c r="O104">
        <f>Sheet1!AB104</f>
        <v>0</v>
      </c>
      <c r="P104" s="2">
        <f>Sheet1!AD104</f>
        <v>0</v>
      </c>
      <c r="Q104" t="str">
        <f>Sheet1!AI104</f>
        <v>MUHAMAD ILYAS-526007</v>
      </c>
      <c r="R104" t="str">
        <f>Sheet1!AJ104</f>
        <v/>
      </c>
      <c r="S104" t="str">
        <f>Sheet1!AK104</f>
        <v>Cancel</v>
      </c>
      <c r="T104" t="str">
        <f>Sheet1!AL104</f>
        <v>SA</v>
      </c>
      <c r="U104">
        <f t="shared" si="1"/>
        <v>0</v>
      </c>
    </row>
    <row r="105" spans="1:21" x14ac:dyDescent="0.25">
      <c r="A105">
        <f>Sheet1!A105</f>
        <v>104</v>
      </c>
      <c r="B105" t="str">
        <f>Sheet1!B105</f>
        <v>BEKASI</v>
      </c>
      <c r="C105" t="str">
        <f>Sheet1!C105</f>
        <v>BAYU DWI YULIYANTO</v>
      </c>
      <c r="D105" t="str">
        <f>Sheet1!D105</f>
        <v>ODRNO2607080196</v>
      </c>
      <c r="E105" t="str">
        <f>Sheet1!E105</f>
        <v>811PRS20260704631</v>
      </c>
      <c r="F105" t="str">
        <f>Sheet1!F105</f>
        <v>Sales Agent (SA)</v>
      </c>
      <c r="G105">
        <f>Sheet1!G105</f>
        <v>0</v>
      </c>
      <c r="H105">
        <f>Sheet1!H105</f>
        <v>0</v>
      </c>
      <c r="I105" t="str">
        <f>Sheet1!I105</f>
        <v>KURNIAWAN ARIBOWO</v>
      </c>
      <c r="J105" s="2">
        <f>Sheet1!K105</f>
        <v>46211.707282870397</v>
      </c>
      <c r="K105" s="2">
        <f>Sheet1!L105</f>
        <v>46219.333346493098</v>
      </c>
      <c r="L105" t="str">
        <f>Sheet1!M105</f>
        <v>Prospect Cancel</v>
      </c>
      <c r="M105" t="str">
        <f>Sheet1!P105</f>
        <v>DAIHATSU</v>
      </c>
      <c r="N105" t="str">
        <f>Sheet1!Q105</f>
        <v>2013</v>
      </c>
      <c r="O105">
        <f>Sheet1!AB105</f>
        <v>0</v>
      </c>
      <c r="P105" s="2">
        <f>Sheet1!AD105</f>
        <v>0</v>
      </c>
      <c r="Q105" t="str">
        <f>Sheet1!AI105</f>
        <v>TONO FEBRIANTO PUTRA-126379</v>
      </c>
      <c r="R105" t="str">
        <f>Sheet1!AJ105</f>
        <v/>
      </c>
      <c r="S105" t="str">
        <f>Sheet1!AK105</f>
        <v>Cancel</v>
      </c>
      <c r="T105" t="str">
        <f>Sheet1!AL105</f>
        <v>SA</v>
      </c>
      <c r="U105">
        <f t="shared" si="1"/>
        <v>0</v>
      </c>
    </row>
    <row r="106" spans="1:21" x14ac:dyDescent="0.25">
      <c r="A106">
        <f>Sheet1!A106</f>
        <v>105</v>
      </c>
      <c r="B106" t="str">
        <f>Sheet1!B106</f>
        <v>BENGKULU</v>
      </c>
      <c r="C106" t="str">
        <f>Sheet1!C106</f>
        <v>hery purnomo</v>
      </c>
      <c r="D106" t="str">
        <f>Sheet1!D106</f>
        <v>ODRNO2607080175</v>
      </c>
      <c r="E106" t="str">
        <f>Sheet1!E106</f>
        <v>809PRS20260701257</v>
      </c>
      <c r="F106" t="str">
        <f>Sheet1!F106</f>
        <v>Sales Agent (SA)</v>
      </c>
      <c r="G106" t="str">
        <f>Sheet1!G106</f>
        <v>8091032600011</v>
      </c>
      <c r="H106" t="str">
        <f>Sheet1!H106</f>
        <v>809APP20260700006</v>
      </c>
      <c r="I106" t="str">
        <f>Sheet1!I106</f>
        <v>ADE CHANDRA PANE</v>
      </c>
      <c r="J106" s="2">
        <f>Sheet1!K106</f>
        <v>46211.649529201401</v>
      </c>
      <c r="K106" s="2">
        <f>Sheet1!L106</f>
        <v>46212.658809178203</v>
      </c>
      <c r="L106" t="str">
        <f>Sheet1!M106</f>
        <v>Go Live</v>
      </c>
      <c r="M106" t="str">
        <f>Sheet1!P106</f>
        <v>TOYOTA</v>
      </c>
      <c r="N106" t="str">
        <f>Sheet1!Q106</f>
        <v>2023</v>
      </c>
      <c r="O106">
        <f>Sheet1!AB106</f>
        <v>316347000</v>
      </c>
      <c r="P106" s="2">
        <f>Sheet1!AD106</f>
        <v>46212</v>
      </c>
      <c r="Q106" t="str">
        <f>Sheet1!AI106</f>
        <v>IMSON SAHRI-126370</v>
      </c>
      <c r="R106" t="str">
        <f>Sheet1!AJ106</f>
        <v/>
      </c>
      <c r="S106" t="str">
        <f>Sheet1!AK106</f>
        <v>Golive</v>
      </c>
      <c r="T106" t="str">
        <f>Sheet1!AL106</f>
        <v>SA</v>
      </c>
      <c r="U106" t="str">
        <f t="shared" si="1"/>
        <v>Done Survey</v>
      </c>
    </row>
    <row r="107" spans="1:21" x14ac:dyDescent="0.25">
      <c r="A107">
        <f>Sheet1!A107</f>
        <v>106</v>
      </c>
      <c r="B107" t="str">
        <f>Sheet1!B107</f>
        <v>BOGOR</v>
      </c>
      <c r="C107" t="str">
        <f>Sheet1!C107</f>
        <v>ZAKARIA WINANJAR</v>
      </c>
      <c r="D107" t="str">
        <f>Sheet1!D107</f>
        <v>ODRNO2607080204</v>
      </c>
      <c r="E107" t="str">
        <f>Sheet1!E107</f>
        <v>812PRS20260701310</v>
      </c>
      <c r="F107" t="str">
        <f>Sheet1!F107</f>
        <v>Sales Agent (SA)</v>
      </c>
      <c r="G107">
        <f>Sheet1!G107</f>
        <v>0</v>
      </c>
      <c r="H107">
        <f>Sheet1!H107</f>
        <v>0</v>
      </c>
      <c r="I107" t="str">
        <f>Sheet1!I107</f>
        <v>SENJAYA BUDIMAN</v>
      </c>
      <c r="J107" s="2">
        <f>Sheet1!K107</f>
        <v>46211.719268171299</v>
      </c>
      <c r="K107" s="2">
        <f>Sheet1!L107</f>
        <v>46219.333346493098</v>
      </c>
      <c r="L107" t="str">
        <f>Sheet1!M107</f>
        <v>Prospect Cancel</v>
      </c>
      <c r="M107" t="str">
        <f>Sheet1!P107</f>
        <v>HONDA</v>
      </c>
      <c r="N107" t="str">
        <f>Sheet1!Q107</f>
        <v>2020</v>
      </c>
      <c r="O107">
        <f>Sheet1!AB107</f>
        <v>0</v>
      </c>
      <c r="P107" s="2">
        <f>Sheet1!AD107</f>
        <v>0</v>
      </c>
      <c r="Q107" t="str">
        <f>Sheet1!AI107</f>
        <v>TIO PUTRA UTAMA-0626006</v>
      </c>
      <c r="R107" t="str">
        <f>Sheet1!AJ107</f>
        <v/>
      </c>
      <c r="S107" t="str">
        <f>Sheet1!AK107</f>
        <v>Cancel</v>
      </c>
      <c r="T107" t="str">
        <f>Sheet1!AL107</f>
        <v>SA</v>
      </c>
      <c r="U107">
        <f t="shared" si="1"/>
        <v>0</v>
      </c>
    </row>
    <row r="108" spans="1:21" x14ac:dyDescent="0.25">
      <c r="A108">
        <f>Sheet1!A108</f>
        <v>107</v>
      </c>
      <c r="B108" t="str">
        <f>Sheet1!B108</f>
        <v>BOGOR</v>
      </c>
      <c r="C108" t="str">
        <f>Sheet1!C108</f>
        <v>CRIST HANDY WINATA</v>
      </c>
      <c r="D108" t="str">
        <f>Sheet1!D108</f>
        <v>ODRNO2607080240</v>
      </c>
      <c r="E108" t="str">
        <f>Sheet1!E108</f>
        <v>812PRS20260701312</v>
      </c>
      <c r="F108" t="str">
        <f>Sheet1!F108</f>
        <v>Sales Agent (SA)</v>
      </c>
      <c r="G108">
        <f>Sheet1!G108</f>
        <v>0</v>
      </c>
      <c r="H108">
        <f>Sheet1!H108</f>
        <v>0</v>
      </c>
      <c r="I108" t="str">
        <f>Sheet1!I108</f>
        <v>EKA SUNARYO</v>
      </c>
      <c r="J108" s="2">
        <f>Sheet1!K108</f>
        <v>46211.997856562499</v>
      </c>
      <c r="K108" s="2">
        <f>Sheet1!L108</f>
        <v>46220.333345717598</v>
      </c>
      <c r="L108" t="str">
        <f>Sheet1!M108</f>
        <v>Prospect Cancel</v>
      </c>
      <c r="M108" t="str">
        <f>Sheet1!P108</f>
        <v>SUZUKI</v>
      </c>
      <c r="N108" t="str">
        <f>Sheet1!Q108</f>
        <v>2017</v>
      </c>
      <c r="O108">
        <f>Sheet1!AB108</f>
        <v>0</v>
      </c>
      <c r="P108" s="2">
        <f>Sheet1!AD108</f>
        <v>0</v>
      </c>
      <c r="Q108" t="str">
        <f>Sheet1!AI108</f>
        <v>RULLY OKTAFIAN-526004</v>
      </c>
      <c r="R108" t="str">
        <f>Sheet1!AJ108</f>
        <v/>
      </c>
      <c r="S108" t="str">
        <f>Sheet1!AK108</f>
        <v>Cancel</v>
      </c>
      <c r="T108" t="str">
        <f>Sheet1!AL108</f>
        <v>SA</v>
      </c>
      <c r="U108">
        <f t="shared" si="1"/>
        <v>0</v>
      </c>
    </row>
    <row r="109" spans="1:21" x14ac:dyDescent="0.25">
      <c r="A109">
        <f>Sheet1!A109</f>
        <v>108</v>
      </c>
      <c r="B109" t="str">
        <f>Sheet1!B109</f>
        <v>LAMPUNG</v>
      </c>
      <c r="C109" t="str">
        <f>Sheet1!C109</f>
        <v>arya ajie permana</v>
      </c>
      <c r="D109" t="str">
        <f>Sheet1!D109</f>
        <v>ODRNO2607080107</v>
      </c>
      <c r="E109" t="str">
        <f>Sheet1!E109</f>
        <v>810PRS20260700681</v>
      </c>
      <c r="F109" t="str">
        <f>Sheet1!F109</f>
        <v>Sales Agent (SA)</v>
      </c>
      <c r="G109">
        <f>Sheet1!G109</f>
        <v>0</v>
      </c>
      <c r="H109">
        <f>Sheet1!H109</f>
        <v>0</v>
      </c>
      <c r="I109" t="str">
        <f>Sheet1!I109</f>
        <v>AZWAN</v>
      </c>
      <c r="J109" s="2">
        <f>Sheet1!K109</f>
        <v>46211.521892789402</v>
      </c>
      <c r="K109" s="2">
        <f>Sheet1!L109</f>
        <v>46212.305633252297</v>
      </c>
      <c r="L109" t="str">
        <f>Sheet1!M109</f>
        <v>Prospect Cancel</v>
      </c>
      <c r="M109" t="str">
        <f>Sheet1!P109</f>
        <v>HONDA</v>
      </c>
      <c r="N109" t="str">
        <f>Sheet1!Q109</f>
        <v>2019</v>
      </c>
      <c r="O109">
        <f>Sheet1!AB109</f>
        <v>0</v>
      </c>
      <c r="P109" s="2">
        <f>Sheet1!AD109</f>
        <v>0</v>
      </c>
      <c r="Q109" t="str">
        <f>Sheet1!AI109</f>
        <v>BADILLAH NUR YUNUS-126123</v>
      </c>
      <c r="R109" t="str">
        <f>Sheet1!AJ109</f>
        <v/>
      </c>
      <c r="S109" t="str">
        <f>Sheet1!AK109</f>
        <v>Cancel</v>
      </c>
      <c r="T109" t="str">
        <f>Sheet1!AL109</f>
        <v>SA</v>
      </c>
      <c r="U109">
        <f t="shared" si="1"/>
        <v>0</v>
      </c>
    </row>
    <row r="110" spans="1:21" x14ac:dyDescent="0.25">
      <c r="A110">
        <f>Sheet1!A110</f>
        <v>109</v>
      </c>
      <c r="B110" t="str">
        <f>Sheet1!B110</f>
        <v>LAMPUNG</v>
      </c>
      <c r="C110" t="str">
        <f>Sheet1!C110</f>
        <v>sofian kenedy</v>
      </c>
      <c r="D110" t="str">
        <f>Sheet1!D110</f>
        <v>ODRNO2607080193</v>
      </c>
      <c r="E110" t="str">
        <f>Sheet1!E110</f>
        <v>810PRS20260700682</v>
      </c>
      <c r="F110" t="str">
        <f>Sheet1!F110</f>
        <v>Sales Agent (SA)</v>
      </c>
      <c r="G110">
        <f>Sheet1!G110</f>
        <v>0</v>
      </c>
      <c r="H110">
        <f>Sheet1!H110</f>
        <v>0</v>
      </c>
      <c r="I110" t="str">
        <f>Sheet1!I110</f>
        <v>AZWAN</v>
      </c>
      <c r="J110" s="2">
        <f>Sheet1!K110</f>
        <v>46211.702295023097</v>
      </c>
      <c r="K110" s="2">
        <f>Sheet1!L110</f>
        <v>46212.302233449103</v>
      </c>
      <c r="L110" t="str">
        <f>Sheet1!M110</f>
        <v>Prospect Cancel</v>
      </c>
      <c r="M110" t="str">
        <f>Sheet1!P110</f>
        <v>TOYOTA</v>
      </c>
      <c r="N110" t="str">
        <f>Sheet1!Q110</f>
        <v>2015</v>
      </c>
      <c r="O110">
        <f>Sheet1!AB110</f>
        <v>0</v>
      </c>
      <c r="P110" s="2">
        <f>Sheet1!AD110</f>
        <v>0</v>
      </c>
      <c r="Q110" t="str">
        <f>Sheet1!AI110</f>
        <v>DAENG MAREWA-126237</v>
      </c>
      <c r="R110" t="str">
        <f>Sheet1!AJ110</f>
        <v/>
      </c>
      <c r="S110" t="str">
        <f>Sheet1!AK110</f>
        <v>Cancel</v>
      </c>
      <c r="T110" t="str">
        <f>Sheet1!AL110</f>
        <v>SA</v>
      </c>
      <c r="U110">
        <f t="shared" si="1"/>
        <v>0</v>
      </c>
    </row>
    <row r="111" spans="1:21" x14ac:dyDescent="0.25">
      <c r="A111">
        <f>Sheet1!A111</f>
        <v>110</v>
      </c>
      <c r="B111" t="str">
        <f>Sheet1!B111</f>
        <v>LAMPUNG</v>
      </c>
      <c r="C111" t="str">
        <f>Sheet1!C111</f>
        <v>dony satria</v>
      </c>
      <c r="D111" t="str">
        <f>Sheet1!D111</f>
        <v>ODRNO2607080217</v>
      </c>
      <c r="E111" t="str">
        <f>Sheet1!E111</f>
        <v>810PRS20260700683</v>
      </c>
      <c r="F111" t="str">
        <f>Sheet1!F111</f>
        <v>Sales Agent (SA)</v>
      </c>
      <c r="G111">
        <f>Sheet1!G111</f>
        <v>0</v>
      </c>
      <c r="H111" t="str">
        <f>Sheet1!H111</f>
        <v>810APP20260700021</v>
      </c>
      <c r="I111" t="str">
        <f>Sheet1!I111</f>
        <v>AZWAN</v>
      </c>
      <c r="J111" s="2">
        <f>Sheet1!K111</f>
        <v>46211.782961226898</v>
      </c>
      <c r="K111" s="2">
        <f>Sheet1!L111</f>
        <v>46222.323447650502</v>
      </c>
      <c r="L111" t="str">
        <f>Sheet1!M111</f>
        <v>Final Cancel</v>
      </c>
      <c r="M111" t="str">
        <f>Sheet1!P111</f>
        <v>TOYOTA</v>
      </c>
      <c r="N111" t="str">
        <f>Sheet1!Q111</f>
        <v>2008</v>
      </c>
      <c r="O111">
        <f>Sheet1!AB111</f>
        <v>0</v>
      </c>
      <c r="P111" s="2">
        <f>Sheet1!AD111</f>
        <v>46220</v>
      </c>
      <c r="Q111" t="str">
        <f>Sheet1!AI111</f>
        <v>MURNI ASIH-126120</v>
      </c>
      <c r="R111" t="str">
        <f>Sheet1!AJ111</f>
        <v/>
      </c>
      <c r="S111" t="str">
        <f>Sheet1!AK111</f>
        <v>Cancel</v>
      </c>
      <c r="T111" t="str">
        <f>Sheet1!AL111</f>
        <v>SA</v>
      </c>
      <c r="U111" t="str">
        <f t="shared" si="1"/>
        <v>Done Survey</v>
      </c>
    </row>
    <row r="112" spans="1:21" x14ac:dyDescent="0.25">
      <c r="A112">
        <f>Sheet1!A112</f>
        <v>111</v>
      </c>
      <c r="B112" t="str">
        <f>Sheet1!B112</f>
        <v>PEKANBARU</v>
      </c>
      <c r="C112" t="str">
        <f>Sheet1!C112</f>
        <v>AZHARI SYUHADA</v>
      </c>
      <c r="D112" t="str">
        <f>Sheet1!D112</f>
        <v>ODRNO2607080097</v>
      </c>
      <c r="E112" t="str">
        <f>Sheet1!E112</f>
        <v>805PRS20260702545</v>
      </c>
      <c r="F112" t="str">
        <f>Sheet1!F112</f>
        <v>Sales Agent (SA)</v>
      </c>
      <c r="G112">
        <f>Sheet1!G112</f>
        <v>0</v>
      </c>
      <c r="H112" t="str">
        <f>Sheet1!H112</f>
        <v>805APP20260700052</v>
      </c>
      <c r="I112" t="str">
        <f>Sheet1!I112</f>
        <v>MUHAMMAD RIDWAN</v>
      </c>
      <c r="J112" s="2">
        <f>Sheet1!K112</f>
        <v>46211.495287812497</v>
      </c>
      <c r="K112" s="2">
        <f>Sheet1!L112</f>
        <v>46221.923862731499</v>
      </c>
      <c r="L112" t="str">
        <f>Sheet1!M112</f>
        <v>Return Handling</v>
      </c>
      <c r="M112" t="str">
        <f>Sheet1!P112</f>
        <v>HONDA</v>
      </c>
      <c r="N112" t="str">
        <f>Sheet1!Q112</f>
        <v>2021</v>
      </c>
      <c r="O112">
        <f>Sheet1!AB112</f>
        <v>0</v>
      </c>
      <c r="P112" s="2">
        <f>Sheet1!AD112</f>
        <v>46220</v>
      </c>
      <c r="Q112" t="str">
        <f>Sheet1!AI112</f>
        <v>YAN HERY SHYAPUTRA SIREGAR-226123</v>
      </c>
      <c r="R112" t="str">
        <f>Sheet1!AJ112</f>
        <v/>
      </c>
      <c r="S112" t="str">
        <f>Sheet1!AK112</f>
        <v>In Proses</v>
      </c>
      <c r="T112" t="str">
        <f>Sheet1!AL112</f>
        <v>SA</v>
      </c>
      <c r="U112" t="str">
        <f t="shared" si="1"/>
        <v>Done Survey</v>
      </c>
    </row>
    <row r="113" spans="1:21" x14ac:dyDescent="0.25">
      <c r="A113">
        <f>Sheet1!A113</f>
        <v>112</v>
      </c>
      <c r="B113" t="str">
        <f>Sheet1!B113</f>
        <v>PEKANBARU</v>
      </c>
      <c r="C113" t="str">
        <f>Sheet1!C113</f>
        <v>RULLY SRI RAMA</v>
      </c>
      <c r="D113" t="str">
        <f>Sheet1!D113</f>
        <v>ODRNO2607080189</v>
      </c>
      <c r="E113" t="str">
        <f>Sheet1!E113</f>
        <v>805PRS20260702553</v>
      </c>
      <c r="F113" t="str">
        <f>Sheet1!F113</f>
        <v>Sales Agent (SA)</v>
      </c>
      <c r="G113">
        <f>Sheet1!G113</f>
        <v>0</v>
      </c>
      <c r="H113">
        <f>Sheet1!H113</f>
        <v>0</v>
      </c>
      <c r="I113" t="str">
        <f>Sheet1!I113</f>
        <v>MUHAMMAD RIDWAN</v>
      </c>
      <c r="J113" s="2">
        <f>Sheet1!K113</f>
        <v>46211.694906099503</v>
      </c>
      <c r="K113" s="2">
        <f>Sheet1!L113</f>
        <v>46219.333346493098</v>
      </c>
      <c r="L113" t="str">
        <f>Sheet1!M113</f>
        <v>Prospect Cancel</v>
      </c>
      <c r="M113" t="str">
        <f>Sheet1!P113</f>
        <v>DAIHATSU</v>
      </c>
      <c r="N113" t="str">
        <f>Sheet1!Q113</f>
        <v>2023</v>
      </c>
      <c r="O113">
        <f>Sheet1!AB113</f>
        <v>0</v>
      </c>
      <c r="P113" s="2">
        <f>Sheet1!AD113</f>
        <v>0</v>
      </c>
      <c r="Q113" t="str">
        <f>Sheet1!AI113</f>
        <v>FAJAR TRILISTA-126311</v>
      </c>
      <c r="R113" t="str">
        <f>Sheet1!AJ113</f>
        <v/>
      </c>
      <c r="S113" t="str">
        <f>Sheet1!AK113</f>
        <v>Cancel</v>
      </c>
      <c r="T113" t="str">
        <f>Sheet1!AL113</f>
        <v>SA</v>
      </c>
      <c r="U113">
        <f t="shared" si="1"/>
        <v>0</v>
      </c>
    </row>
    <row r="114" spans="1:21" x14ac:dyDescent="0.25">
      <c r="A114">
        <f>Sheet1!A114</f>
        <v>113</v>
      </c>
      <c r="B114" t="str">
        <f>Sheet1!B114</f>
        <v>PEKANBARU</v>
      </c>
      <c r="C114" t="str">
        <f>Sheet1!C114</f>
        <v>KOMARUDDIN</v>
      </c>
      <c r="D114" t="str">
        <f>Sheet1!D114</f>
        <v>ODRNO2607080213</v>
      </c>
      <c r="E114" t="str">
        <f>Sheet1!E114</f>
        <v>805PRS20260702554</v>
      </c>
      <c r="F114" t="str">
        <f>Sheet1!F114</f>
        <v>Sales Agent (SA)</v>
      </c>
      <c r="G114">
        <f>Sheet1!G114</f>
        <v>0</v>
      </c>
      <c r="H114">
        <f>Sheet1!H114</f>
        <v>0</v>
      </c>
      <c r="I114" t="str">
        <f>Sheet1!I114</f>
        <v>MUHAMMAD RIDWAN</v>
      </c>
      <c r="J114" s="2">
        <f>Sheet1!K114</f>
        <v>46211.773947071801</v>
      </c>
      <c r="K114" s="2">
        <f>Sheet1!L114</f>
        <v>46211.7813403935</v>
      </c>
      <c r="L114" t="str">
        <f>Sheet1!M114</f>
        <v>Prospect Cancel</v>
      </c>
      <c r="M114" t="str">
        <f>Sheet1!P114</f>
        <v>TOYOTA</v>
      </c>
      <c r="N114" t="str">
        <f>Sheet1!Q114</f>
        <v>2014</v>
      </c>
      <c r="O114">
        <f>Sheet1!AB114</f>
        <v>0</v>
      </c>
      <c r="P114" s="2">
        <f>Sheet1!AD114</f>
        <v>0</v>
      </c>
      <c r="Q114" t="str">
        <f>Sheet1!AI114</f>
        <v>MUHAMMAD RAMLI-226112</v>
      </c>
      <c r="R114" t="str">
        <f>Sheet1!AJ114</f>
        <v/>
      </c>
      <c r="S114" t="str">
        <f>Sheet1!AK114</f>
        <v>Cancel</v>
      </c>
      <c r="T114" t="str">
        <f>Sheet1!AL114</f>
        <v>SA</v>
      </c>
      <c r="U114">
        <f t="shared" si="1"/>
        <v>0</v>
      </c>
    </row>
    <row r="115" spans="1:21" x14ac:dyDescent="0.25">
      <c r="A115">
        <f>Sheet1!A115</f>
        <v>114</v>
      </c>
      <c r="B115" t="str">
        <f>Sheet1!B115</f>
        <v>PEKANBARU</v>
      </c>
      <c r="C115" t="str">
        <f>Sheet1!C115</f>
        <v>LANDRI PRATAMA</v>
      </c>
      <c r="D115" t="str">
        <f>Sheet1!D115</f>
        <v>ODRNO2607080215</v>
      </c>
      <c r="E115" t="str">
        <f>Sheet1!E115</f>
        <v>805PRS20260702555</v>
      </c>
      <c r="F115" t="str">
        <f>Sheet1!F115</f>
        <v>Sales Agent (SA)</v>
      </c>
      <c r="G115" t="str">
        <f>Sheet1!G115</f>
        <v>8051032600015</v>
      </c>
      <c r="H115" t="str">
        <f>Sheet1!H115</f>
        <v>805APP20260700042</v>
      </c>
      <c r="I115" t="str">
        <f>Sheet1!I115</f>
        <v>MUHAMMAD RIDWAN</v>
      </c>
      <c r="J115" s="2">
        <f>Sheet1!K115</f>
        <v>46211.780216666702</v>
      </c>
      <c r="K115" s="2">
        <f>Sheet1!L115</f>
        <v>46218.418248460701</v>
      </c>
      <c r="L115" t="str">
        <f>Sheet1!M115</f>
        <v>Go Live</v>
      </c>
      <c r="M115" t="str">
        <f>Sheet1!P115</f>
        <v>TOYOTA</v>
      </c>
      <c r="N115" t="str">
        <f>Sheet1!Q115</f>
        <v>2017</v>
      </c>
      <c r="O115">
        <f>Sheet1!AB115</f>
        <v>211319660</v>
      </c>
      <c r="P115" s="2">
        <f>Sheet1!AD115</f>
        <v>46217</v>
      </c>
      <c r="Q115" t="str">
        <f>Sheet1!AI115</f>
        <v>MUHAMMAD RAMLI-226112</v>
      </c>
      <c r="R115" t="str">
        <f>Sheet1!AJ115</f>
        <v/>
      </c>
      <c r="S115" t="str">
        <f>Sheet1!AK115</f>
        <v>Golive</v>
      </c>
      <c r="T115" t="str">
        <f>Sheet1!AL115</f>
        <v>SA</v>
      </c>
      <c r="U115" t="str">
        <f t="shared" si="1"/>
        <v>Done Survey</v>
      </c>
    </row>
    <row r="116" spans="1:21" x14ac:dyDescent="0.25">
      <c r="A116">
        <f>Sheet1!A116</f>
        <v>115</v>
      </c>
      <c r="B116" t="str">
        <f>Sheet1!B116</f>
        <v>SEMARANG</v>
      </c>
      <c r="C116" t="str">
        <f>Sheet1!C116</f>
        <v>AHMAD FAIZAL ABADI</v>
      </c>
      <c r="D116" t="str">
        <f>Sheet1!D116</f>
        <v>ODRNO2607080032</v>
      </c>
      <c r="E116" t="str">
        <f>Sheet1!E116</f>
        <v>816PRS20260700611</v>
      </c>
      <c r="F116" t="str">
        <f>Sheet1!F116</f>
        <v>LandingPage</v>
      </c>
      <c r="G116">
        <f>Sheet1!G116</f>
        <v>0</v>
      </c>
      <c r="H116">
        <f>Sheet1!H116</f>
        <v>0</v>
      </c>
      <c r="I116" t="str">
        <f>Sheet1!I116</f>
        <v>SIGIT SUBEKTI</v>
      </c>
      <c r="J116" s="2">
        <f>Sheet1!K116</f>
        <v>46211.376435729202</v>
      </c>
      <c r="K116" s="2">
        <f>Sheet1!L116</f>
        <v>46219.333346493098</v>
      </c>
      <c r="L116" t="str">
        <f>Sheet1!M116</f>
        <v>Prospect Cancel</v>
      </c>
      <c r="M116" t="str">
        <f>Sheet1!P116</f>
        <v>TOYOTA</v>
      </c>
      <c r="N116" t="str">
        <f>Sheet1!Q116</f>
        <v>2008</v>
      </c>
      <c r="O116">
        <f>Sheet1!AB116</f>
        <v>0</v>
      </c>
      <c r="P116" s="2">
        <f>Sheet1!AD116</f>
        <v>0</v>
      </c>
      <c r="Q116">
        <f>Sheet1!AI116</f>
        <v>0</v>
      </c>
      <c r="R116">
        <f>Sheet1!AJ116</f>
        <v>0</v>
      </c>
      <c r="S116" t="str">
        <f>Sheet1!AK116</f>
        <v>Cancel</v>
      </c>
      <c r="T116" t="str">
        <f>Sheet1!AL116</f>
        <v>SA</v>
      </c>
      <c r="U116">
        <f t="shared" si="1"/>
        <v>0</v>
      </c>
    </row>
    <row r="117" spans="1:21" x14ac:dyDescent="0.25">
      <c r="A117">
        <f>Sheet1!A117</f>
        <v>116</v>
      </c>
      <c r="B117" t="str">
        <f>Sheet1!B117</f>
        <v>SURABAYA SATU</v>
      </c>
      <c r="C117" t="str">
        <f>Sheet1!C117</f>
        <v>heny anggraeni</v>
      </c>
      <c r="D117" t="str">
        <f>Sheet1!D117</f>
        <v>ODRNO2607080188</v>
      </c>
      <c r="E117" t="str">
        <f>Sheet1!E117</f>
        <v>819PRS20260701004</v>
      </c>
      <c r="F117" t="str">
        <f>Sheet1!F117</f>
        <v>Sales Agent (SA)</v>
      </c>
      <c r="G117">
        <f>Sheet1!G117</f>
        <v>0</v>
      </c>
      <c r="H117" t="str">
        <f>Sheet1!H117</f>
        <v>819APP20260700012</v>
      </c>
      <c r="I117" t="str">
        <f>Sheet1!I117</f>
        <v>PONDRA PUJIONO</v>
      </c>
      <c r="J117" s="2">
        <f>Sheet1!K117</f>
        <v>46211.692019826398</v>
      </c>
      <c r="K117" s="2">
        <f>Sheet1!L117</f>
        <v>46216.377029942101</v>
      </c>
      <c r="L117" t="str">
        <f>Sheet1!M117</f>
        <v>Return Handling</v>
      </c>
      <c r="M117" t="str">
        <f>Sheet1!P117</f>
        <v>HONDA</v>
      </c>
      <c r="N117" t="str">
        <f>Sheet1!Q117</f>
        <v>2017</v>
      </c>
      <c r="O117">
        <f>Sheet1!AB117</f>
        <v>0</v>
      </c>
      <c r="P117" s="2">
        <f>Sheet1!AD117</f>
        <v>46214</v>
      </c>
      <c r="Q117" t="str">
        <f>Sheet1!AI117</f>
        <v>RYAN ADHI TRIATMAJA-126275</v>
      </c>
      <c r="R117" t="str">
        <f>Sheet1!AJ117</f>
        <v/>
      </c>
      <c r="S117" t="str">
        <f>Sheet1!AK117</f>
        <v>In Proses</v>
      </c>
      <c r="T117" t="str">
        <f>Sheet1!AL117</f>
        <v>SA</v>
      </c>
      <c r="U117" t="str">
        <f t="shared" si="1"/>
        <v>Done Survey</v>
      </c>
    </row>
    <row r="118" spans="1:21" x14ac:dyDescent="0.25">
      <c r="A118">
        <f>Sheet1!A118</f>
        <v>117</v>
      </c>
      <c r="B118" t="str">
        <f>Sheet1!B118</f>
        <v>ALAM SUTERA</v>
      </c>
      <c r="C118" t="str">
        <f>Sheet1!C118</f>
        <v>VINEKE JULIANA DAGALI</v>
      </c>
      <c r="D118" t="str">
        <f>Sheet1!D118</f>
        <v>ODRNO2607090152</v>
      </c>
      <c r="E118" t="str">
        <f>Sheet1!E118</f>
        <v>838PRS20260702501</v>
      </c>
      <c r="F118" t="str">
        <f>Sheet1!F118</f>
        <v>Sales Agent (SA)</v>
      </c>
      <c r="G118" t="str">
        <f>Sheet1!G118</f>
        <v>8381022600039</v>
      </c>
      <c r="H118" t="str">
        <f>Sheet1!H118</f>
        <v>838APP20260700042</v>
      </c>
      <c r="I118" t="str">
        <f>Sheet1!I118</f>
        <v>IBRAHIM AZIZ</v>
      </c>
      <c r="J118" s="2">
        <f>Sheet1!K118</f>
        <v>46212.627884571797</v>
      </c>
      <c r="K118" s="2">
        <f>Sheet1!L118</f>
        <v>46218.356136261602</v>
      </c>
      <c r="L118" t="str">
        <f>Sheet1!M118</f>
        <v>Go Live</v>
      </c>
      <c r="M118" t="str">
        <f>Sheet1!P118</f>
        <v>TOYOTA</v>
      </c>
      <c r="N118" t="str">
        <f>Sheet1!Q118</f>
        <v>2014</v>
      </c>
      <c r="O118">
        <f>Sheet1!AB118</f>
        <v>120000250</v>
      </c>
      <c r="P118" s="2">
        <f>Sheet1!AD118</f>
        <v>46217</v>
      </c>
      <c r="Q118" t="str">
        <f>Sheet1!AI118</f>
        <v>DONNIE PRASTIYO-526010</v>
      </c>
      <c r="R118" t="str">
        <f>Sheet1!AJ118</f>
        <v/>
      </c>
      <c r="S118" t="str">
        <f>Sheet1!AK118</f>
        <v>Golive</v>
      </c>
      <c r="T118" t="str">
        <f>Sheet1!AL118</f>
        <v>SA</v>
      </c>
      <c r="U118" t="str">
        <f t="shared" si="1"/>
        <v>Done Survey</v>
      </c>
    </row>
    <row r="119" spans="1:21" x14ac:dyDescent="0.25">
      <c r="A119">
        <f>Sheet1!A119</f>
        <v>118</v>
      </c>
      <c r="B119" t="str">
        <f>Sheet1!B119</f>
        <v>BANDUNG</v>
      </c>
      <c r="C119" t="str">
        <f>Sheet1!C119</f>
        <v>RINA MARIANA</v>
      </c>
      <c r="D119" t="str">
        <f>Sheet1!D119</f>
        <v>ODRNO2607090121</v>
      </c>
      <c r="E119" t="str">
        <f>Sheet1!E119</f>
        <v>813PRS20260705239</v>
      </c>
      <c r="F119" t="str">
        <f>Sheet1!F119</f>
        <v>Sales Agent (SA)</v>
      </c>
      <c r="G119">
        <f>Sheet1!G119</f>
        <v>0</v>
      </c>
      <c r="H119">
        <f>Sheet1!H119</f>
        <v>0</v>
      </c>
      <c r="I119" t="str">
        <f>Sheet1!I119</f>
        <v>RAMDHAN FIRMANSYAH</v>
      </c>
      <c r="J119" s="2">
        <f>Sheet1!K119</f>
        <v>46212.5615630787</v>
      </c>
      <c r="K119" s="2">
        <f>Sheet1!L119</f>
        <v>46220.333345717598</v>
      </c>
      <c r="L119" t="str">
        <f>Sheet1!M119</f>
        <v>Prospect Cancel</v>
      </c>
      <c r="M119" t="str">
        <f>Sheet1!P119</f>
        <v>TOYOTA</v>
      </c>
      <c r="N119" t="str">
        <f>Sheet1!Q119</f>
        <v>2022</v>
      </c>
      <c r="O119">
        <f>Sheet1!AB119</f>
        <v>0</v>
      </c>
      <c r="P119" s="2">
        <f>Sheet1!AD119</f>
        <v>0</v>
      </c>
      <c r="Q119" t="str">
        <f>Sheet1!AI119</f>
        <v>NDARU PURNOMO-126280</v>
      </c>
      <c r="R119" t="str">
        <f>Sheet1!AJ119</f>
        <v/>
      </c>
      <c r="S119" t="str">
        <f>Sheet1!AK119</f>
        <v>Cancel</v>
      </c>
      <c r="T119" t="str">
        <f>Sheet1!AL119</f>
        <v>SA</v>
      </c>
      <c r="U119">
        <f t="shared" si="1"/>
        <v>0</v>
      </c>
    </row>
    <row r="120" spans="1:21" x14ac:dyDescent="0.25">
      <c r="A120">
        <f>Sheet1!A120</f>
        <v>119</v>
      </c>
      <c r="B120" t="str">
        <f>Sheet1!B120</f>
        <v>BANDUNG</v>
      </c>
      <c r="C120" t="str">
        <f>Sheet1!C120</f>
        <v>RIZKY AGUSTAMI</v>
      </c>
      <c r="D120" t="str">
        <f>Sheet1!D120</f>
        <v>ODRNO2607090174</v>
      </c>
      <c r="E120" t="str">
        <f>Sheet1!E120</f>
        <v>813PRS20260705243</v>
      </c>
      <c r="F120" t="str">
        <f>Sheet1!F120</f>
        <v>Sales Agent (SA)</v>
      </c>
      <c r="G120">
        <f>Sheet1!G120</f>
        <v>0</v>
      </c>
      <c r="H120">
        <f>Sheet1!H120</f>
        <v>0</v>
      </c>
      <c r="I120" t="str">
        <f>Sheet1!I120</f>
        <v>RAMDHAN FIRMANSYAH</v>
      </c>
      <c r="J120" s="2">
        <f>Sheet1!K120</f>
        <v>46212.663653900498</v>
      </c>
      <c r="K120" s="2">
        <f>Sheet1!L120</f>
        <v>46212.7299213773</v>
      </c>
      <c r="L120" t="str">
        <f>Sheet1!M120</f>
        <v>Prospect Cancel</v>
      </c>
      <c r="M120" t="str">
        <f>Sheet1!P120</f>
        <v>KIA</v>
      </c>
      <c r="N120" t="str">
        <f>Sheet1!Q120</f>
        <v>2013</v>
      </c>
      <c r="O120">
        <f>Sheet1!AB120</f>
        <v>0</v>
      </c>
      <c r="P120" s="2">
        <f>Sheet1!AD120</f>
        <v>0</v>
      </c>
      <c r="Q120" t="str">
        <f>Sheet1!AI120</f>
        <v>YUAN FIRDAUS-526018</v>
      </c>
      <c r="R120" t="str">
        <f>Sheet1!AJ120</f>
        <v/>
      </c>
      <c r="S120" t="str">
        <f>Sheet1!AK120</f>
        <v>Cancel</v>
      </c>
      <c r="T120" t="str">
        <f>Sheet1!AL120</f>
        <v>SA</v>
      </c>
      <c r="U120">
        <f t="shared" si="1"/>
        <v>0</v>
      </c>
    </row>
    <row r="121" spans="1:21" x14ac:dyDescent="0.25">
      <c r="A121">
        <f>Sheet1!A121</f>
        <v>120</v>
      </c>
      <c r="B121" t="str">
        <f>Sheet1!B121</f>
        <v>BANDUNG</v>
      </c>
      <c r="C121" t="str">
        <f>Sheet1!C121</f>
        <v>RIZSKY AGUSTAMI</v>
      </c>
      <c r="D121" t="str">
        <f>Sheet1!D121</f>
        <v>ODRNO2607090179</v>
      </c>
      <c r="E121" t="str">
        <f>Sheet1!E121</f>
        <v>813PRS20260705244</v>
      </c>
      <c r="F121" t="str">
        <f>Sheet1!F121</f>
        <v>Sales Agent (SA)</v>
      </c>
      <c r="G121">
        <f>Sheet1!G121</f>
        <v>0</v>
      </c>
      <c r="H121">
        <f>Sheet1!H121</f>
        <v>0</v>
      </c>
      <c r="I121" t="str">
        <f>Sheet1!I121</f>
        <v>RAMDHAN FIRMANSYAH</v>
      </c>
      <c r="J121" s="2">
        <f>Sheet1!K121</f>
        <v>46212.668562615698</v>
      </c>
      <c r="K121" s="2">
        <f>Sheet1!L121</f>
        <v>46220.333345717598</v>
      </c>
      <c r="L121" t="str">
        <f>Sheet1!M121</f>
        <v>Prospect Cancel</v>
      </c>
      <c r="M121" t="str">
        <f>Sheet1!P121</f>
        <v>KIA</v>
      </c>
      <c r="N121" t="str">
        <f>Sheet1!Q121</f>
        <v>2013</v>
      </c>
      <c r="O121">
        <f>Sheet1!AB121</f>
        <v>0</v>
      </c>
      <c r="P121" s="2">
        <f>Sheet1!AD121</f>
        <v>0</v>
      </c>
      <c r="Q121" t="str">
        <f>Sheet1!AI121</f>
        <v>YUAN FIRDAUS-526018</v>
      </c>
      <c r="R121" t="str">
        <f>Sheet1!AJ121</f>
        <v/>
      </c>
      <c r="S121" t="str">
        <f>Sheet1!AK121</f>
        <v>Cancel</v>
      </c>
      <c r="T121" t="str">
        <f>Sheet1!AL121</f>
        <v>SA</v>
      </c>
      <c r="U121">
        <f t="shared" si="1"/>
        <v>0</v>
      </c>
    </row>
    <row r="122" spans="1:21" x14ac:dyDescent="0.25">
      <c r="A122">
        <f>Sheet1!A122</f>
        <v>121</v>
      </c>
      <c r="B122" t="str">
        <f>Sheet1!B122</f>
        <v>BANDUNG</v>
      </c>
      <c r="C122" t="str">
        <f>Sheet1!C122</f>
        <v>Rachmat Mulyana</v>
      </c>
      <c r="D122" t="str">
        <f>Sheet1!D122</f>
        <v>ODRNO2607090201</v>
      </c>
      <c r="E122" t="str">
        <f>Sheet1!E122</f>
        <v>813PRS20260705250</v>
      </c>
      <c r="F122" t="str">
        <f>Sheet1!F122</f>
        <v>Sales Agent (SA)</v>
      </c>
      <c r="G122">
        <f>Sheet1!G122</f>
        <v>0</v>
      </c>
      <c r="H122">
        <f>Sheet1!H122</f>
        <v>0</v>
      </c>
      <c r="I122" t="str">
        <f>Sheet1!I122</f>
        <v>RISKI DALNI</v>
      </c>
      <c r="J122" s="2">
        <f>Sheet1!K122</f>
        <v>46212.744696562499</v>
      </c>
      <c r="K122" s="2">
        <f>Sheet1!L122</f>
        <v>46220.333345717598</v>
      </c>
      <c r="L122" t="str">
        <f>Sheet1!M122</f>
        <v>Prospect Cancel</v>
      </c>
      <c r="M122" t="str">
        <f>Sheet1!P122</f>
        <v>DAIHATSU</v>
      </c>
      <c r="N122" t="str">
        <f>Sheet1!Q122</f>
        <v>2019</v>
      </c>
      <c r="O122">
        <f>Sheet1!AB122</f>
        <v>0</v>
      </c>
      <c r="P122" s="2">
        <f>Sheet1!AD122</f>
        <v>0</v>
      </c>
      <c r="Q122" t="str">
        <f>Sheet1!AI122</f>
        <v>ARIF AJI HARNIKO-0726009</v>
      </c>
      <c r="R122" t="str">
        <f>Sheet1!AJ122</f>
        <v/>
      </c>
      <c r="S122" t="str">
        <f>Sheet1!AK122</f>
        <v>Cancel</v>
      </c>
      <c r="T122" t="str">
        <f>Sheet1!AL122</f>
        <v>SA</v>
      </c>
      <c r="U122">
        <f t="shared" si="1"/>
        <v>0</v>
      </c>
    </row>
    <row r="123" spans="1:21" x14ac:dyDescent="0.25">
      <c r="A123">
        <f>Sheet1!A123</f>
        <v>122</v>
      </c>
      <c r="B123" t="str">
        <f>Sheet1!B123</f>
        <v>BANDUNG</v>
      </c>
      <c r="C123" t="str">
        <f>Sheet1!C123</f>
        <v>Dina Andriana</v>
      </c>
      <c r="D123" t="str">
        <f>Sheet1!D123</f>
        <v>ODRNO2607090203</v>
      </c>
      <c r="E123" t="str">
        <f>Sheet1!E123</f>
        <v>813PRS20260705251</v>
      </c>
      <c r="F123" t="str">
        <f>Sheet1!F123</f>
        <v>Sales Agent (SA)</v>
      </c>
      <c r="G123">
        <f>Sheet1!G123</f>
        <v>0</v>
      </c>
      <c r="H123">
        <f>Sheet1!H123</f>
        <v>0</v>
      </c>
      <c r="I123" t="str">
        <f>Sheet1!I123</f>
        <v>RISKI DALNI</v>
      </c>
      <c r="J123" s="2">
        <f>Sheet1!K123</f>
        <v>46212.7679663542</v>
      </c>
      <c r="K123" s="2">
        <f>Sheet1!L123</f>
        <v>46220.333345717598</v>
      </c>
      <c r="L123" t="str">
        <f>Sheet1!M123</f>
        <v>Prospect Cancel</v>
      </c>
      <c r="M123" t="str">
        <f>Sheet1!P123</f>
        <v>DAIHATSU</v>
      </c>
      <c r="N123" t="str">
        <f>Sheet1!Q123</f>
        <v>2020</v>
      </c>
      <c r="O123">
        <f>Sheet1!AB123</f>
        <v>0</v>
      </c>
      <c r="P123" s="2">
        <f>Sheet1!AD123</f>
        <v>0</v>
      </c>
      <c r="Q123" t="str">
        <f>Sheet1!AI123</f>
        <v>RONI PERMANA-0626041</v>
      </c>
      <c r="R123" t="str">
        <f>Sheet1!AJ123</f>
        <v/>
      </c>
      <c r="S123" t="str">
        <f>Sheet1!AK123</f>
        <v>Cancel</v>
      </c>
      <c r="T123" t="str">
        <f>Sheet1!AL123</f>
        <v>SA</v>
      </c>
      <c r="U123">
        <f t="shared" si="1"/>
        <v>0</v>
      </c>
    </row>
    <row r="124" spans="1:21" x14ac:dyDescent="0.25">
      <c r="A124">
        <f>Sheet1!A124</f>
        <v>123</v>
      </c>
      <c r="B124" t="str">
        <f>Sheet1!B124</f>
        <v>BANGKA</v>
      </c>
      <c r="C124" t="str">
        <f>Sheet1!C124</f>
        <v>hendro nirwanto</v>
      </c>
      <c r="D124" t="str">
        <f>Sheet1!D124</f>
        <v>ODRNO2607090170</v>
      </c>
      <c r="E124" t="str">
        <f>Sheet1!E124</f>
        <v>836PRS20260700507</v>
      </c>
      <c r="F124" t="str">
        <f>Sheet1!F124</f>
        <v>Sales Agent (SA)</v>
      </c>
      <c r="G124">
        <f>Sheet1!G124</f>
        <v>0</v>
      </c>
      <c r="H124">
        <f>Sheet1!H124</f>
        <v>0</v>
      </c>
      <c r="I124" t="str">
        <f>Sheet1!I124</f>
        <v>GUNTUR SAPUTRA</v>
      </c>
      <c r="J124" s="2">
        <f>Sheet1!K124</f>
        <v>46212.650647569397</v>
      </c>
      <c r="K124" s="2">
        <f>Sheet1!L124</f>
        <v>46212.729858136598</v>
      </c>
      <c r="L124" t="str">
        <f>Sheet1!M124</f>
        <v>Prospect Cancel</v>
      </c>
      <c r="M124" t="str">
        <f>Sheet1!P124</f>
        <v>MITSUBISHI</v>
      </c>
      <c r="N124" t="str">
        <f>Sheet1!Q124</f>
        <v>2018</v>
      </c>
      <c r="O124">
        <f>Sheet1!AB124</f>
        <v>0</v>
      </c>
      <c r="P124" s="2">
        <f>Sheet1!AD124</f>
        <v>0</v>
      </c>
      <c r="Q124" t="str">
        <f>Sheet1!AI124</f>
        <v>ERIK AFLORA-126337</v>
      </c>
      <c r="R124" t="str">
        <f>Sheet1!AJ124</f>
        <v/>
      </c>
      <c r="S124" t="str">
        <f>Sheet1!AK124</f>
        <v>Cancel</v>
      </c>
      <c r="T124" t="str">
        <f>Sheet1!AL124</f>
        <v>SA</v>
      </c>
      <c r="U124">
        <f t="shared" si="1"/>
        <v>0</v>
      </c>
    </row>
    <row r="125" spans="1:21" x14ac:dyDescent="0.25">
      <c r="A125">
        <f>Sheet1!A125</f>
        <v>124</v>
      </c>
      <c r="B125" t="str">
        <f>Sheet1!B125</f>
        <v>BATAM</v>
      </c>
      <c r="C125" t="str">
        <f>Sheet1!C125</f>
        <v>murniati</v>
      </c>
      <c r="D125" t="str">
        <f>Sheet1!D125</f>
        <v>ODRNO2607090020</v>
      </c>
      <c r="E125" t="str">
        <f>Sheet1!E125</f>
        <v>806PRS20260702090</v>
      </c>
      <c r="F125" t="str">
        <f>Sheet1!F125</f>
        <v>Sales Agent (SA)</v>
      </c>
      <c r="G125">
        <f>Sheet1!G125</f>
        <v>0</v>
      </c>
      <c r="H125">
        <f>Sheet1!H125</f>
        <v>0</v>
      </c>
      <c r="I125" t="str">
        <f>Sheet1!I125</f>
        <v>WELLY PRIMA SANDI</v>
      </c>
      <c r="J125" s="2">
        <f>Sheet1!K125</f>
        <v>46212.350813576399</v>
      </c>
      <c r="K125" s="2">
        <f>Sheet1!L125</f>
        <v>46220.333345717598</v>
      </c>
      <c r="L125" t="str">
        <f>Sheet1!M125</f>
        <v>Prospect Cancel</v>
      </c>
      <c r="M125" t="str">
        <f>Sheet1!P125</f>
        <v>LEXUS</v>
      </c>
      <c r="N125" t="str">
        <f>Sheet1!Q125</f>
        <v>2015</v>
      </c>
      <c r="O125">
        <f>Sheet1!AB125</f>
        <v>0</v>
      </c>
      <c r="P125" s="2">
        <f>Sheet1!AD125</f>
        <v>0</v>
      </c>
      <c r="Q125" t="str">
        <f>Sheet1!AI125</f>
        <v>ADINDA RAHMAN SITANGGANG-226083</v>
      </c>
      <c r="R125" t="str">
        <f>Sheet1!AJ125</f>
        <v/>
      </c>
      <c r="S125" t="str">
        <f>Sheet1!AK125</f>
        <v>Cancel</v>
      </c>
      <c r="T125" t="str">
        <f>Sheet1!AL125</f>
        <v>SA</v>
      </c>
      <c r="U125">
        <f t="shared" si="1"/>
        <v>0</v>
      </c>
    </row>
    <row r="126" spans="1:21" x14ac:dyDescent="0.25">
      <c r="A126">
        <f>Sheet1!A126</f>
        <v>125</v>
      </c>
      <c r="B126" t="str">
        <f>Sheet1!B126</f>
        <v>BEKASI</v>
      </c>
      <c r="C126" t="str">
        <f>Sheet1!C126</f>
        <v>DANI SYARTIKA</v>
      </c>
      <c r="D126" t="str">
        <f>Sheet1!D126</f>
        <v>ODRNO2607090062</v>
      </c>
      <c r="E126" t="str">
        <f>Sheet1!E126</f>
        <v>811PRS20260704646</v>
      </c>
      <c r="F126" t="str">
        <f>Sheet1!F126</f>
        <v>Sales Agent (SA)</v>
      </c>
      <c r="G126">
        <f>Sheet1!G126</f>
        <v>0</v>
      </c>
      <c r="H126">
        <f>Sheet1!H126</f>
        <v>0</v>
      </c>
      <c r="I126" t="str">
        <f>Sheet1!I126</f>
        <v>KURNIAWAN ARIBOWO</v>
      </c>
      <c r="J126" s="2">
        <f>Sheet1!K126</f>
        <v>46212.4140857292</v>
      </c>
      <c r="K126" s="2">
        <f>Sheet1!L126</f>
        <v>46220.333345717598</v>
      </c>
      <c r="L126" t="str">
        <f>Sheet1!M126</f>
        <v>Prospect Cancel</v>
      </c>
      <c r="M126" t="str">
        <f>Sheet1!P126</f>
        <v>MITSUBISHI</v>
      </c>
      <c r="N126" t="str">
        <f>Sheet1!Q126</f>
        <v>2021</v>
      </c>
      <c r="O126">
        <f>Sheet1!AB126</f>
        <v>0</v>
      </c>
      <c r="P126" s="2">
        <f>Sheet1!AD126</f>
        <v>0</v>
      </c>
      <c r="Q126" t="str">
        <f>Sheet1!AI126</f>
        <v>JEFFRI STAVANUS M-326087</v>
      </c>
      <c r="R126" t="str">
        <f>Sheet1!AJ126</f>
        <v/>
      </c>
      <c r="S126" t="str">
        <f>Sheet1!AK126</f>
        <v>Cancel</v>
      </c>
      <c r="T126" t="str">
        <f>Sheet1!AL126</f>
        <v>SA</v>
      </c>
      <c r="U126">
        <f t="shared" si="1"/>
        <v>0</v>
      </c>
    </row>
    <row r="127" spans="1:21" x14ac:dyDescent="0.25">
      <c r="A127">
        <f>Sheet1!A127</f>
        <v>126</v>
      </c>
      <c r="B127" t="str">
        <f>Sheet1!B127</f>
        <v>BEKASI</v>
      </c>
      <c r="C127" t="str">
        <f>Sheet1!C127</f>
        <v>H MUHAMMAD IHWAN SAFARI, ST</v>
      </c>
      <c r="D127" t="str">
        <f>Sheet1!D127</f>
        <v>ODRNO2607090067</v>
      </c>
      <c r="E127" t="str">
        <f>Sheet1!E127</f>
        <v>811PRS20260704647</v>
      </c>
      <c r="F127" t="str">
        <f>Sheet1!F127</f>
        <v>Sales Agent (SA)</v>
      </c>
      <c r="G127">
        <f>Sheet1!G127</f>
        <v>0</v>
      </c>
      <c r="H127">
        <f>Sheet1!H127</f>
        <v>0</v>
      </c>
      <c r="I127" t="str">
        <f>Sheet1!I127</f>
        <v>KURNIAWAN ARIBOWO</v>
      </c>
      <c r="J127" s="2">
        <f>Sheet1!K127</f>
        <v>46212.417388854199</v>
      </c>
      <c r="K127" s="2">
        <f>Sheet1!L127</f>
        <v>46212.434102233798</v>
      </c>
      <c r="L127" t="str">
        <f>Sheet1!M127</f>
        <v>Prospect Cancel</v>
      </c>
      <c r="M127" t="str">
        <f>Sheet1!P127</f>
        <v>TOYOTA</v>
      </c>
      <c r="N127" t="str">
        <f>Sheet1!Q127</f>
        <v>2012</v>
      </c>
      <c r="O127">
        <f>Sheet1!AB127</f>
        <v>0</v>
      </c>
      <c r="P127" s="2">
        <f>Sheet1!AD127</f>
        <v>0</v>
      </c>
      <c r="Q127" t="str">
        <f>Sheet1!AI127</f>
        <v>VALENTINUS WAHYU SUSILO-326082</v>
      </c>
      <c r="R127" t="str">
        <f>Sheet1!AJ127</f>
        <v/>
      </c>
      <c r="S127" t="str">
        <f>Sheet1!AK127</f>
        <v>Cancel</v>
      </c>
      <c r="T127" t="str">
        <f>Sheet1!AL127</f>
        <v>SA</v>
      </c>
      <c r="U127">
        <f t="shared" si="1"/>
        <v>0</v>
      </c>
    </row>
    <row r="128" spans="1:21" x14ac:dyDescent="0.25">
      <c r="A128">
        <f>Sheet1!A128</f>
        <v>127</v>
      </c>
      <c r="B128" t="str">
        <f>Sheet1!B128</f>
        <v>BEKASI</v>
      </c>
      <c r="C128" t="str">
        <f>Sheet1!C128</f>
        <v>YAHYA ANDRIAN</v>
      </c>
      <c r="D128" t="str">
        <f>Sheet1!D128</f>
        <v>ODRNO2607090070</v>
      </c>
      <c r="E128" t="str">
        <f>Sheet1!E128</f>
        <v>811PRS20260704648</v>
      </c>
      <c r="F128" t="str">
        <f>Sheet1!F128</f>
        <v>Sales Agent (SA)</v>
      </c>
      <c r="G128">
        <f>Sheet1!G128</f>
        <v>0</v>
      </c>
      <c r="H128">
        <f>Sheet1!H128</f>
        <v>0</v>
      </c>
      <c r="I128" t="str">
        <f>Sheet1!I128</f>
        <v>KURNIAWAN ARIBOWO</v>
      </c>
      <c r="J128" s="2">
        <f>Sheet1!K128</f>
        <v>46212.420321261598</v>
      </c>
      <c r="K128" s="2">
        <f>Sheet1!L128</f>
        <v>46220.333345717598</v>
      </c>
      <c r="L128" t="str">
        <f>Sheet1!M128</f>
        <v>Prospect Cancel</v>
      </c>
      <c r="M128" t="str">
        <f>Sheet1!P128</f>
        <v>BMW</v>
      </c>
      <c r="N128" t="str">
        <f>Sheet1!Q128</f>
        <v>2016</v>
      </c>
      <c r="O128">
        <f>Sheet1!AB128</f>
        <v>0</v>
      </c>
      <c r="P128" s="2">
        <f>Sheet1!AD128</f>
        <v>0</v>
      </c>
      <c r="Q128" t="str">
        <f>Sheet1!AI128</f>
        <v>MUHAMAD ILYAS-526007</v>
      </c>
      <c r="R128" t="str">
        <f>Sheet1!AJ128</f>
        <v/>
      </c>
      <c r="S128" t="str">
        <f>Sheet1!AK128</f>
        <v>Cancel</v>
      </c>
      <c r="T128" t="str">
        <f>Sheet1!AL128</f>
        <v>SA</v>
      </c>
      <c r="U128">
        <f t="shared" si="1"/>
        <v>0</v>
      </c>
    </row>
    <row r="129" spans="1:21" x14ac:dyDescent="0.25">
      <c r="A129">
        <f>Sheet1!A129</f>
        <v>128</v>
      </c>
      <c r="B129" t="str">
        <f>Sheet1!B129</f>
        <v>BEKASI</v>
      </c>
      <c r="C129" t="str">
        <f>Sheet1!C129</f>
        <v>PRASTAF GANINDUTO</v>
      </c>
      <c r="D129" t="str">
        <f>Sheet1!D129</f>
        <v>ODRNO2607090107</v>
      </c>
      <c r="E129" t="str">
        <f>Sheet1!E129</f>
        <v>811PRS20260704651</v>
      </c>
      <c r="F129" t="str">
        <f>Sheet1!F129</f>
        <v>Sales Agent (SA)</v>
      </c>
      <c r="G129">
        <f>Sheet1!G129</f>
        <v>0</v>
      </c>
      <c r="H129">
        <f>Sheet1!H129</f>
        <v>0</v>
      </c>
      <c r="I129" t="str">
        <f>Sheet1!I129</f>
        <v>KURNIAWAN ARIBOWO</v>
      </c>
      <c r="J129" s="2">
        <f>Sheet1!K129</f>
        <v>46212.517253935199</v>
      </c>
      <c r="K129" s="2">
        <f>Sheet1!L129</f>
        <v>46212.524350150503</v>
      </c>
      <c r="L129" t="str">
        <f>Sheet1!M129</f>
        <v>Prospect Cancel</v>
      </c>
      <c r="M129" t="str">
        <f>Sheet1!P129</f>
        <v>BYD</v>
      </c>
      <c r="N129" t="str">
        <f>Sheet1!Q129</f>
        <v>2024</v>
      </c>
      <c r="O129">
        <f>Sheet1!AB129</f>
        <v>0</v>
      </c>
      <c r="P129" s="2">
        <f>Sheet1!AD129</f>
        <v>0</v>
      </c>
      <c r="Q129" t="str">
        <f>Sheet1!AI129</f>
        <v>RIYANTO-226167</v>
      </c>
      <c r="R129" t="str">
        <f>Sheet1!AJ129</f>
        <v/>
      </c>
      <c r="S129" t="str">
        <f>Sheet1!AK129</f>
        <v>Cancel</v>
      </c>
      <c r="T129" t="str">
        <f>Sheet1!AL129</f>
        <v>SA</v>
      </c>
      <c r="U129">
        <f t="shared" si="1"/>
        <v>0</v>
      </c>
    </row>
    <row r="130" spans="1:21" x14ac:dyDescent="0.25">
      <c r="A130">
        <f>Sheet1!A130</f>
        <v>129</v>
      </c>
      <c r="B130" t="str">
        <f>Sheet1!B130</f>
        <v>BOGOR</v>
      </c>
      <c r="C130" t="str">
        <f>Sheet1!C130</f>
        <v>HERI SURYANA</v>
      </c>
      <c r="D130" t="str">
        <f>Sheet1!D130</f>
        <v>ODRNO2607090190</v>
      </c>
      <c r="E130" t="str">
        <f>Sheet1!E130</f>
        <v>812PRS20260701318</v>
      </c>
      <c r="F130" t="str">
        <f>Sheet1!F130</f>
        <v>Sales Agent (SA)</v>
      </c>
      <c r="G130">
        <f>Sheet1!G130</f>
        <v>0</v>
      </c>
      <c r="H130">
        <f>Sheet1!H130</f>
        <v>0</v>
      </c>
      <c r="I130" t="str">
        <f>Sheet1!I130</f>
        <v>SENJAYA BUDIMAN</v>
      </c>
      <c r="J130" s="2">
        <f>Sheet1!K130</f>
        <v>46212.711546261598</v>
      </c>
      <c r="K130" s="2">
        <f>Sheet1!L130</f>
        <v>46220.333345717598</v>
      </c>
      <c r="L130" t="str">
        <f>Sheet1!M130</f>
        <v>Prospect Cancel</v>
      </c>
      <c r="M130" t="str">
        <f>Sheet1!P130</f>
        <v>DAIHATSU</v>
      </c>
      <c r="N130" t="str">
        <f>Sheet1!Q130</f>
        <v>2022</v>
      </c>
      <c r="O130">
        <f>Sheet1!AB130</f>
        <v>0</v>
      </c>
      <c r="P130" s="2">
        <f>Sheet1!AD130</f>
        <v>0</v>
      </c>
      <c r="Q130" t="str">
        <f>Sheet1!AI130</f>
        <v>YULIA MARHAENIS-0626008</v>
      </c>
      <c r="R130" t="str">
        <f>Sheet1!AJ130</f>
        <v/>
      </c>
      <c r="S130" t="str">
        <f>Sheet1!AK130</f>
        <v>Cancel</v>
      </c>
      <c r="T130" t="str">
        <f>Sheet1!AL130</f>
        <v>SA</v>
      </c>
      <c r="U130">
        <f t="shared" si="1"/>
        <v>0</v>
      </c>
    </row>
    <row r="131" spans="1:21" x14ac:dyDescent="0.25">
      <c r="A131">
        <f>Sheet1!A131</f>
        <v>130</v>
      </c>
      <c r="B131" t="str">
        <f>Sheet1!B131</f>
        <v>LAMPUNG</v>
      </c>
      <c r="C131" t="str">
        <f>Sheet1!C131</f>
        <v>tri nugroho diningrat</v>
      </c>
      <c r="D131" t="str">
        <f>Sheet1!D131</f>
        <v>ODRNO2607090129</v>
      </c>
      <c r="E131" t="str">
        <f>Sheet1!E131</f>
        <v>810PRS20260700687</v>
      </c>
      <c r="F131" t="str">
        <f>Sheet1!F131</f>
        <v>Sales Agent (SA)</v>
      </c>
      <c r="G131">
        <f>Sheet1!G131</f>
        <v>0</v>
      </c>
      <c r="H131">
        <f>Sheet1!H131</f>
        <v>0</v>
      </c>
      <c r="I131" t="str">
        <f>Sheet1!I131</f>
        <v>AZWAN</v>
      </c>
      <c r="J131" s="2">
        <f>Sheet1!K131</f>
        <v>46212.586856944399</v>
      </c>
      <c r="K131" s="2">
        <f>Sheet1!L131</f>
        <v>46220.333345717598</v>
      </c>
      <c r="L131" t="str">
        <f>Sheet1!M131</f>
        <v>Prospect Cancel</v>
      </c>
      <c r="M131" t="str">
        <f>Sheet1!P131</f>
        <v>TOYOTA</v>
      </c>
      <c r="N131" t="str">
        <f>Sheet1!Q131</f>
        <v>2018</v>
      </c>
      <c r="O131">
        <f>Sheet1!AB131</f>
        <v>0</v>
      </c>
      <c r="P131" s="2">
        <f>Sheet1!AD131</f>
        <v>0</v>
      </c>
      <c r="Q131" t="str">
        <f>Sheet1!AI131</f>
        <v>BADILLAH NUR YUNUS-126123</v>
      </c>
      <c r="R131" t="str">
        <f>Sheet1!AJ131</f>
        <v/>
      </c>
      <c r="S131" t="str">
        <f>Sheet1!AK131</f>
        <v>Cancel</v>
      </c>
      <c r="T131" t="str">
        <f>Sheet1!AL131</f>
        <v>SA</v>
      </c>
      <c r="U131">
        <f t="shared" ref="U131:U194" si="2">IF(H131=0,0,"Done Survey")</f>
        <v>0</v>
      </c>
    </row>
    <row r="132" spans="1:21" x14ac:dyDescent="0.25">
      <c r="A132">
        <f>Sheet1!A132</f>
        <v>131</v>
      </c>
      <c r="B132" t="str">
        <f>Sheet1!B132</f>
        <v>LAMPUNG</v>
      </c>
      <c r="C132" t="str">
        <f>Sheet1!C132</f>
        <v>jeffry sunandar wijaya</v>
      </c>
      <c r="D132" t="str">
        <f>Sheet1!D132</f>
        <v>ODRNO2607090168</v>
      </c>
      <c r="E132" t="str">
        <f>Sheet1!E132</f>
        <v>810PRS20260700690</v>
      </c>
      <c r="F132" t="str">
        <f>Sheet1!F132</f>
        <v>Sales Agent (SA)</v>
      </c>
      <c r="G132">
        <f>Sheet1!G132</f>
        <v>0</v>
      </c>
      <c r="H132">
        <f>Sheet1!H132</f>
        <v>0</v>
      </c>
      <c r="I132" t="str">
        <f>Sheet1!I132</f>
        <v>AZWAN</v>
      </c>
      <c r="J132" s="2">
        <f>Sheet1!K132</f>
        <v>46212.647772569399</v>
      </c>
      <c r="K132" s="2">
        <f>Sheet1!L132</f>
        <v>46221.333345370404</v>
      </c>
      <c r="L132" t="str">
        <f>Sheet1!M132</f>
        <v>Prospect Cancel</v>
      </c>
      <c r="M132" t="str">
        <f>Sheet1!P132</f>
        <v>MITSUBISHI</v>
      </c>
      <c r="N132" t="str">
        <f>Sheet1!Q132</f>
        <v>2019</v>
      </c>
      <c r="O132">
        <f>Sheet1!AB132</f>
        <v>0</v>
      </c>
      <c r="P132" s="2">
        <f>Sheet1!AD132</f>
        <v>0</v>
      </c>
      <c r="Q132" t="str">
        <f>Sheet1!AI132</f>
        <v>SAMSUL MUNIR-126015</v>
      </c>
      <c r="R132" t="str">
        <f>Sheet1!AJ132</f>
        <v/>
      </c>
      <c r="S132" t="str">
        <f>Sheet1!AK132</f>
        <v>Cancel</v>
      </c>
      <c r="T132" t="str">
        <f>Sheet1!AL132</f>
        <v>SA</v>
      </c>
      <c r="U132">
        <f t="shared" si="2"/>
        <v>0</v>
      </c>
    </row>
    <row r="133" spans="1:21" x14ac:dyDescent="0.25">
      <c r="A133">
        <f>Sheet1!A133</f>
        <v>132</v>
      </c>
      <c r="B133" t="str">
        <f>Sheet1!B133</f>
        <v>MANADO</v>
      </c>
      <c r="C133" t="str">
        <f>Sheet1!C133</f>
        <v xml:space="preserve">MARLIEN MEWOH </v>
      </c>
      <c r="D133" t="str">
        <f>Sheet1!D133</f>
        <v>ODRNO2607090072</v>
      </c>
      <c r="E133" t="str">
        <f>Sheet1!E133</f>
        <v>828PRS20260700334</v>
      </c>
      <c r="F133" t="str">
        <f>Sheet1!F133</f>
        <v>Sales Agent (SA)</v>
      </c>
      <c r="G133">
        <f>Sheet1!G133</f>
        <v>0</v>
      </c>
      <c r="H133">
        <f>Sheet1!H133</f>
        <v>0</v>
      </c>
      <c r="I133" t="str">
        <f>Sheet1!I133</f>
        <v>BATIN E TUWUILU</v>
      </c>
      <c r="J133" s="2">
        <f>Sheet1!K133</f>
        <v>46212.425953159698</v>
      </c>
      <c r="K133" s="2">
        <f>Sheet1!L133</f>
        <v>46220.333345717598</v>
      </c>
      <c r="L133" t="str">
        <f>Sheet1!M133</f>
        <v>Prospect Cancel</v>
      </c>
      <c r="M133" t="str">
        <f>Sheet1!P133</f>
        <v>DATSUN</v>
      </c>
      <c r="N133" t="str">
        <f>Sheet1!Q133</f>
        <v>2017</v>
      </c>
      <c r="O133">
        <f>Sheet1!AB133</f>
        <v>0</v>
      </c>
      <c r="P133" s="2">
        <f>Sheet1!AD133</f>
        <v>0</v>
      </c>
      <c r="Q133" t="str">
        <f>Sheet1!AI133</f>
        <v>MEIDY JUFRY RIANTO SENEWE-0626009</v>
      </c>
      <c r="R133" t="str">
        <f>Sheet1!AJ133</f>
        <v/>
      </c>
      <c r="S133" t="str">
        <f>Sheet1!AK133</f>
        <v>Cancel</v>
      </c>
      <c r="T133" t="str">
        <f>Sheet1!AL133</f>
        <v>SA</v>
      </c>
      <c r="U133">
        <f t="shared" si="2"/>
        <v>0</v>
      </c>
    </row>
    <row r="134" spans="1:21" x14ac:dyDescent="0.25">
      <c r="A134">
        <f>Sheet1!A134</f>
        <v>133</v>
      </c>
      <c r="B134" t="str">
        <f>Sheet1!B134</f>
        <v>MEDAN DUA</v>
      </c>
      <c r="C134" t="str">
        <f>Sheet1!C134</f>
        <v>MUBAROK</v>
      </c>
      <c r="D134" t="str">
        <f>Sheet1!D134</f>
        <v>ODRNO2607090040</v>
      </c>
      <c r="E134" t="str">
        <f>Sheet1!E134</f>
        <v>839PRS20260700907</v>
      </c>
      <c r="F134" t="str">
        <f>Sheet1!F134</f>
        <v>Sales Agent (SA)</v>
      </c>
      <c r="G134">
        <f>Sheet1!G134</f>
        <v>0</v>
      </c>
      <c r="H134">
        <f>Sheet1!H134</f>
        <v>0</v>
      </c>
      <c r="I134" t="str">
        <f>Sheet1!I134</f>
        <v>WASTO SIHOMBING</v>
      </c>
      <c r="J134" s="2">
        <f>Sheet1!K134</f>
        <v>46212.381685648201</v>
      </c>
      <c r="K134" s="2">
        <f>Sheet1!L134</f>
        <v>46212.386021840299</v>
      </c>
      <c r="L134" t="str">
        <f>Sheet1!M134</f>
        <v>Prospect Cancel</v>
      </c>
      <c r="M134" t="str">
        <f>Sheet1!P134</f>
        <v>TOYOTA</v>
      </c>
      <c r="N134" t="str">
        <f>Sheet1!Q134</f>
        <v>2021</v>
      </c>
      <c r="O134">
        <f>Sheet1!AB134</f>
        <v>0</v>
      </c>
      <c r="P134" s="2">
        <f>Sheet1!AD134</f>
        <v>0</v>
      </c>
      <c r="Q134" t="str">
        <f>Sheet1!AI134</f>
        <v>ALEXANDER SIREGAR-126373</v>
      </c>
      <c r="R134" t="str">
        <f>Sheet1!AJ134</f>
        <v/>
      </c>
      <c r="S134" t="str">
        <f>Sheet1!AK134</f>
        <v>Cancel</v>
      </c>
      <c r="T134" t="str">
        <f>Sheet1!AL134</f>
        <v>SA</v>
      </c>
      <c r="U134">
        <f t="shared" si="2"/>
        <v>0</v>
      </c>
    </row>
    <row r="135" spans="1:21" x14ac:dyDescent="0.25">
      <c r="A135">
        <f>Sheet1!A135</f>
        <v>134</v>
      </c>
      <c r="B135" t="str">
        <f>Sheet1!B135</f>
        <v>MEDAN DUA</v>
      </c>
      <c r="C135" t="str">
        <f>Sheet1!C135</f>
        <v>JASRIANTO SARAGIH</v>
      </c>
      <c r="D135" t="str">
        <f>Sheet1!D135</f>
        <v>ODRNO2607090043</v>
      </c>
      <c r="E135" t="str">
        <f>Sheet1!E135</f>
        <v>839PRS20260700908</v>
      </c>
      <c r="F135" t="str">
        <f>Sheet1!F135</f>
        <v>Sales Agent (SA)</v>
      </c>
      <c r="G135">
        <f>Sheet1!G135</f>
        <v>0</v>
      </c>
      <c r="H135">
        <f>Sheet1!H135</f>
        <v>0</v>
      </c>
      <c r="I135" t="str">
        <f>Sheet1!I135</f>
        <v>WASTO SIHOMBING</v>
      </c>
      <c r="J135" s="2">
        <f>Sheet1!K135</f>
        <v>46212.387689699099</v>
      </c>
      <c r="K135" s="2">
        <f>Sheet1!L135</f>
        <v>46212.392416550902</v>
      </c>
      <c r="L135" t="str">
        <f>Sheet1!M135</f>
        <v>Prospect Cancel</v>
      </c>
      <c r="M135" t="str">
        <f>Sheet1!P135</f>
        <v>TOYOTA</v>
      </c>
      <c r="N135" t="str">
        <f>Sheet1!Q135</f>
        <v>2019</v>
      </c>
      <c r="O135">
        <f>Sheet1!AB135</f>
        <v>0</v>
      </c>
      <c r="P135" s="2">
        <f>Sheet1!AD135</f>
        <v>0</v>
      </c>
      <c r="Q135" t="str">
        <f>Sheet1!AI135</f>
        <v>ALEXANDER SIREGAR-126373</v>
      </c>
      <c r="R135" t="str">
        <f>Sheet1!AJ135</f>
        <v/>
      </c>
      <c r="S135" t="str">
        <f>Sheet1!AK135</f>
        <v>Cancel</v>
      </c>
      <c r="T135" t="str">
        <f>Sheet1!AL135</f>
        <v>SA</v>
      </c>
      <c r="U135">
        <f t="shared" si="2"/>
        <v>0</v>
      </c>
    </row>
    <row r="136" spans="1:21" x14ac:dyDescent="0.25">
      <c r="A136">
        <f>Sheet1!A136</f>
        <v>135</v>
      </c>
      <c r="B136" t="str">
        <f>Sheet1!B136</f>
        <v>PALEMBANG</v>
      </c>
      <c r="C136" t="str">
        <f>Sheet1!C136</f>
        <v>M SETIAWAN</v>
      </c>
      <c r="D136" t="str">
        <f>Sheet1!D136</f>
        <v>ODRNO2607090071</v>
      </c>
      <c r="E136" t="str">
        <f>Sheet1!E136</f>
        <v>808PRS20260701783</v>
      </c>
      <c r="F136" t="str">
        <f>Sheet1!F136</f>
        <v>LandingPage</v>
      </c>
      <c r="G136">
        <f>Sheet1!G136</f>
        <v>0</v>
      </c>
      <c r="H136">
        <f>Sheet1!H136</f>
        <v>0</v>
      </c>
      <c r="I136" t="str">
        <f>Sheet1!I136</f>
        <v>FEBI ARISANDI SH</v>
      </c>
      <c r="J136" s="2">
        <f>Sheet1!K136</f>
        <v>46212.424255555597</v>
      </c>
      <c r="K136" s="2">
        <f>Sheet1!L136</f>
        <v>46220.333345717598</v>
      </c>
      <c r="L136" t="str">
        <f>Sheet1!M136</f>
        <v>Prospect Cancel</v>
      </c>
      <c r="M136" t="str">
        <f>Sheet1!P136</f>
        <v>DAIHATSU</v>
      </c>
      <c r="N136" t="str">
        <f>Sheet1!Q136</f>
        <v>2009</v>
      </c>
      <c r="O136">
        <f>Sheet1!AB136</f>
        <v>0</v>
      </c>
      <c r="P136" s="2">
        <f>Sheet1!AD136</f>
        <v>0</v>
      </c>
      <c r="Q136">
        <f>Sheet1!AI136</f>
        <v>0</v>
      </c>
      <c r="R136">
        <f>Sheet1!AJ136</f>
        <v>0</v>
      </c>
      <c r="S136" t="str">
        <f>Sheet1!AK136</f>
        <v>Cancel</v>
      </c>
      <c r="T136" t="str">
        <f>Sheet1!AL136</f>
        <v>SA</v>
      </c>
      <c r="U136">
        <f t="shared" si="2"/>
        <v>0</v>
      </c>
    </row>
    <row r="137" spans="1:21" x14ac:dyDescent="0.25">
      <c r="A137">
        <f>Sheet1!A137</f>
        <v>136</v>
      </c>
      <c r="B137" t="str">
        <f>Sheet1!B137</f>
        <v>ALAM SUTERA</v>
      </c>
      <c r="C137" t="str">
        <f>Sheet1!C137</f>
        <v>SITI NURHANIPAH</v>
      </c>
      <c r="D137" t="str">
        <f>Sheet1!D137</f>
        <v>ODRNO2607100178</v>
      </c>
      <c r="E137" t="str">
        <f>Sheet1!E137</f>
        <v>838PRS20260702514</v>
      </c>
      <c r="F137" t="str">
        <f>Sheet1!F137</f>
        <v>Telemarketing Program</v>
      </c>
      <c r="G137" t="str">
        <f>Sheet1!G137</f>
        <v>8381022600045</v>
      </c>
      <c r="H137" t="str">
        <f>Sheet1!H137</f>
        <v>838APP20260700045</v>
      </c>
      <c r="I137" t="str">
        <f>Sheet1!I137</f>
        <v>IBRAHIM AZIZ</v>
      </c>
      <c r="J137" s="2">
        <f>Sheet1!K137</f>
        <v>46213.874531863403</v>
      </c>
      <c r="K137" s="2">
        <f>Sheet1!L137</f>
        <v>46218.609391435202</v>
      </c>
      <c r="L137" t="str">
        <f>Sheet1!M137</f>
        <v>Go Live</v>
      </c>
      <c r="M137" t="str">
        <f>Sheet1!P137</f>
        <v>TOYOTA</v>
      </c>
      <c r="N137" t="str">
        <f>Sheet1!Q137</f>
        <v>2013</v>
      </c>
      <c r="O137">
        <f>Sheet1!AB137</f>
        <v>87200100</v>
      </c>
      <c r="P137" s="2">
        <f>Sheet1!AD137</f>
        <v>46217</v>
      </c>
      <c r="Q137">
        <f>Sheet1!AI137</f>
        <v>0</v>
      </c>
      <c r="R137">
        <f>Sheet1!AJ137</f>
        <v>0</v>
      </c>
      <c r="S137" t="str">
        <f>Sheet1!AK137</f>
        <v>Golive</v>
      </c>
      <c r="T137" t="str">
        <f>Sheet1!AL137</f>
        <v>Tele</v>
      </c>
      <c r="U137" t="str">
        <f t="shared" si="2"/>
        <v>Done Survey</v>
      </c>
    </row>
    <row r="138" spans="1:21" x14ac:dyDescent="0.25">
      <c r="A138">
        <f>Sheet1!A138</f>
        <v>137</v>
      </c>
      <c r="B138" t="str">
        <f>Sheet1!B138</f>
        <v>BANDUNG</v>
      </c>
      <c r="C138" t="str">
        <f>Sheet1!C138</f>
        <v>YULIANTI LESTARI RIZAL</v>
      </c>
      <c r="D138" t="str">
        <f>Sheet1!D138</f>
        <v>ODRNO2607100134</v>
      </c>
      <c r="E138" t="str">
        <f>Sheet1!E138</f>
        <v>813PRS20260705273</v>
      </c>
      <c r="F138" t="str">
        <f>Sheet1!F138</f>
        <v>Sales Agent (SA)</v>
      </c>
      <c r="G138">
        <f>Sheet1!G138</f>
        <v>0</v>
      </c>
      <c r="H138">
        <f>Sheet1!H138</f>
        <v>0</v>
      </c>
      <c r="I138" t="str">
        <f>Sheet1!I138</f>
        <v>RAMDHAN FIRMANSYAH</v>
      </c>
      <c r="J138" s="2">
        <f>Sheet1!K138</f>
        <v>46213.616192094902</v>
      </c>
      <c r="K138" s="2">
        <f>Sheet1!L138</f>
        <v>46221.333345370404</v>
      </c>
      <c r="L138" t="str">
        <f>Sheet1!M138</f>
        <v>Prospect Cancel</v>
      </c>
      <c r="M138" t="str">
        <f>Sheet1!P138</f>
        <v>HONDA</v>
      </c>
      <c r="N138" t="str">
        <f>Sheet1!Q138</f>
        <v>2012</v>
      </c>
      <c r="O138">
        <f>Sheet1!AB138</f>
        <v>0</v>
      </c>
      <c r="P138" s="2">
        <f>Sheet1!AD138</f>
        <v>0</v>
      </c>
      <c r="Q138" t="str">
        <f>Sheet1!AI138</f>
        <v>INDRA PERMANA-426022</v>
      </c>
      <c r="R138" t="str">
        <f>Sheet1!AJ138</f>
        <v/>
      </c>
      <c r="S138" t="str">
        <f>Sheet1!AK138</f>
        <v>Cancel</v>
      </c>
      <c r="T138" t="str">
        <f>Sheet1!AL138</f>
        <v>SA</v>
      </c>
      <c r="U138">
        <f t="shared" si="2"/>
        <v>0</v>
      </c>
    </row>
    <row r="139" spans="1:21" x14ac:dyDescent="0.25">
      <c r="A139">
        <f>Sheet1!A139</f>
        <v>138</v>
      </c>
      <c r="B139" t="str">
        <f>Sheet1!B139</f>
        <v>BANDUNG</v>
      </c>
      <c r="C139" t="str">
        <f>Sheet1!C139</f>
        <v>AGUS KUSNADI</v>
      </c>
      <c r="D139" t="str">
        <f>Sheet1!D139</f>
        <v>ODRNO2607100141</v>
      </c>
      <c r="E139" t="str">
        <f>Sheet1!E139</f>
        <v>813PRS20260705274</v>
      </c>
      <c r="F139" t="str">
        <f>Sheet1!F139</f>
        <v>Sales Agent (SA)</v>
      </c>
      <c r="G139">
        <f>Sheet1!G139</f>
        <v>0</v>
      </c>
      <c r="H139">
        <f>Sheet1!H139</f>
        <v>0</v>
      </c>
      <c r="I139" t="str">
        <f>Sheet1!I139</f>
        <v>RAMDHAN FIRMANSYAH</v>
      </c>
      <c r="J139" s="2">
        <f>Sheet1!K139</f>
        <v>46213.632687384299</v>
      </c>
      <c r="K139" s="2">
        <f>Sheet1!L139</f>
        <v>46221.333345370404</v>
      </c>
      <c r="L139" t="str">
        <f>Sheet1!M139</f>
        <v>Prospect Cancel</v>
      </c>
      <c r="M139" t="str">
        <f>Sheet1!P139</f>
        <v>DAIHATSU</v>
      </c>
      <c r="N139" t="str">
        <f>Sheet1!Q139</f>
        <v>2022</v>
      </c>
      <c r="O139">
        <f>Sheet1!AB139</f>
        <v>0</v>
      </c>
      <c r="P139" s="2">
        <f>Sheet1!AD139</f>
        <v>0</v>
      </c>
      <c r="Q139" t="str">
        <f>Sheet1!AI139</f>
        <v>AGUNG WIBOWO-226216</v>
      </c>
      <c r="R139" t="str">
        <f>Sheet1!AJ139</f>
        <v/>
      </c>
      <c r="S139" t="str">
        <f>Sheet1!AK139</f>
        <v>Cancel</v>
      </c>
      <c r="T139" t="str">
        <f>Sheet1!AL139</f>
        <v>SA</v>
      </c>
      <c r="U139">
        <f t="shared" si="2"/>
        <v>0</v>
      </c>
    </row>
    <row r="140" spans="1:21" x14ac:dyDescent="0.25">
      <c r="A140">
        <f>Sheet1!A140</f>
        <v>139</v>
      </c>
      <c r="B140" t="str">
        <f>Sheet1!B140</f>
        <v>BANDUNG</v>
      </c>
      <c r="C140" t="str">
        <f>Sheet1!C140</f>
        <v>YAYAT HIDAYAT</v>
      </c>
      <c r="D140" t="str">
        <f>Sheet1!D140</f>
        <v>ODRNO2607100169</v>
      </c>
      <c r="E140" t="str">
        <f>Sheet1!E140</f>
        <v>813PRS20260705284</v>
      </c>
      <c r="F140" t="str">
        <f>Sheet1!F140</f>
        <v>Sales Agent (SA)</v>
      </c>
      <c r="G140" t="str">
        <f>Sheet1!G140</f>
        <v>8131022600015</v>
      </c>
      <c r="H140" t="str">
        <f>Sheet1!H140</f>
        <v>813APP20260700056</v>
      </c>
      <c r="I140" t="str">
        <f>Sheet1!I140</f>
        <v>RAMDHAN FIRMANSYAH</v>
      </c>
      <c r="J140" s="2">
        <f>Sheet1!K140</f>
        <v>46213.782162071802</v>
      </c>
      <c r="K140" s="2">
        <f>Sheet1!L140</f>
        <v>46216.578020138899</v>
      </c>
      <c r="L140" t="str">
        <f>Sheet1!M140</f>
        <v>Go Live</v>
      </c>
      <c r="M140" t="str">
        <f>Sheet1!P140</f>
        <v>TOYOTA</v>
      </c>
      <c r="N140" t="str">
        <f>Sheet1!Q140</f>
        <v>2011</v>
      </c>
      <c r="O140">
        <f>Sheet1!AB140</f>
        <v>72800000</v>
      </c>
      <c r="P140" s="2">
        <f>Sheet1!AD140</f>
        <v>46216</v>
      </c>
      <c r="Q140" t="str">
        <f>Sheet1!AI140</f>
        <v>ANGGA ABDUL ROZAQ-126023</v>
      </c>
      <c r="R140" t="str">
        <f>Sheet1!AJ140</f>
        <v/>
      </c>
      <c r="S140" t="str">
        <f>Sheet1!AK140</f>
        <v>Golive</v>
      </c>
      <c r="T140" t="str">
        <f>Sheet1!AL140</f>
        <v>SA</v>
      </c>
      <c r="U140" t="str">
        <f t="shared" si="2"/>
        <v>Done Survey</v>
      </c>
    </row>
    <row r="141" spans="1:21" x14ac:dyDescent="0.25">
      <c r="A141">
        <f>Sheet1!A141</f>
        <v>140</v>
      </c>
      <c r="B141" t="str">
        <f>Sheet1!B141</f>
        <v>BEKASI</v>
      </c>
      <c r="C141" t="str">
        <f>Sheet1!C141</f>
        <v>SUHERMAN</v>
      </c>
      <c r="D141" t="str">
        <f>Sheet1!D141</f>
        <v>ODRNO2607100025</v>
      </c>
      <c r="E141" t="str">
        <f>Sheet1!E141</f>
        <v>811PRS20260704674</v>
      </c>
      <c r="F141" t="str">
        <f>Sheet1!F141</f>
        <v>Sales Agent (SA)</v>
      </c>
      <c r="G141">
        <f>Sheet1!G141</f>
        <v>0</v>
      </c>
      <c r="H141">
        <f>Sheet1!H141</f>
        <v>0</v>
      </c>
      <c r="I141" t="str">
        <f>Sheet1!I141</f>
        <v>KURNIAWAN ARIBOWO</v>
      </c>
      <c r="J141" s="2">
        <f>Sheet1!K141</f>
        <v>46213.346331018503</v>
      </c>
      <c r="K141" s="2">
        <f>Sheet1!L141</f>
        <v>46221.333345370404</v>
      </c>
      <c r="L141" t="str">
        <f>Sheet1!M141</f>
        <v>Prospect Cancel</v>
      </c>
      <c r="M141" t="str">
        <f>Sheet1!P141</f>
        <v>TOYOTA</v>
      </c>
      <c r="N141" t="str">
        <f>Sheet1!Q141</f>
        <v>2009</v>
      </c>
      <c r="O141">
        <f>Sheet1!AB141</f>
        <v>0</v>
      </c>
      <c r="P141" s="2">
        <f>Sheet1!AD141</f>
        <v>0</v>
      </c>
      <c r="Q141" t="str">
        <f>Sheet1!AI141</f>
        <v>JEFFRI STAVANUS M-326087</v>
      </c>
      <c r="R141" t="str">
        <f>Sheet1!AJ141</f>
        <v/>
      </c>
      <c r="S141" t="str">
        <f>Sheet1!AK141</f>
        <v>Cancel</v>
      </c>
      <c r="T141" t="str">
        <f>Sheet1!AL141</f>
        <v>SA</v>
      </c>
      <c r="U141">
        <f t="shared" si="2"/>
        <v>0</v>
      </c>
    </row>
    <row r="142" spans="1:21" x14ac:dyDescent="0.25">
      <c r="A142">
        <f>Sheet1!A142</f>
        <v>141</v>
      </c>
      <c r="B142" t="str">
        <f>Sheet1!B142</f>
        <v>BEKASI</v>
      </c>
      <c r="C142" t="str">
        <f>Sheet1!C142</f>
        <v>AGNES SAWITRI NOVIANTI</v>
      </c>
      <c r="D142" t="str">
        <f>Sheet1!D142</f>
        <v>ODRNO2607100137</v>
      </c>
      <c r="E142" t="str">
        <f>Sheet1!E142</f>
        <v>811PRS20260704679</v>
      </c>
      <c r="F142" t="str">
        <f>Sheet1!F142</f>
        <v>Sales Agent (SA)</v>
      </c>
      <c r="G142" t="str">
        <f>Sheet1!G142</f>
        <v>8111022600027</v>
      </c>
      <c r="H142" t="str">
        <f>Sheet1!H142</f>
        <v>811APP20260700082</v>
      </c>
      <c r="I142" t="str">
        <f>Sheet1!I142</f>
        <v>KURNIAWAN ARIBOWO</v>
      </c>
      <c r="J142" s="2">
        <f>Sheet1!K142</f>
        <v>46213.630408020799</v>
      </c>
      <c r="K142" s="2">
        <f>Sheet1!L142</f>
        <v>46219.392108449101</v>
      </c>
      <c r="L142" t="str">
        <f>Sheet1!M142</f>
        <v>Go Live</v>
      </c>
      <c r="M142" t="str">
        <f>Sheet1!P142</f>
        <v>SUZUKI</v>
      </c>
      <c r="N142" t="str">
        <f>Sheet1!Q142</f>
        <v>2022</v>
      </c>
      <c r="O142">
        <f>Sheet1!AB142</f>
        <v>186505000</v>
      </c>
      <c r="P142" s="2">
        <f>Sheet1!AD142</f>
        <v>46218</v>
      </c>
      <c r="Q142" t="str">
        <f>Sheet1!AI142</f>
        <v>BAGJA SANJAYA-126014</v>
      </c>
      <c r="R142" t="str">
        <f>Sheet1!AJ142</f>
        <v/>
      </c>
      <c r="S142" t="str">
        <f>Sheet1!AK142</f>
        <v>Golive</v>
      </c>
      <c r="T142" t="str">
        <f>Sheet1!AL142</f>
        <v>SA</v>
      </c>
      <c r="U142" t="str">
        <f t="shared" si="2"/>
        <v>Done Survey</v>
      </c>
    </row>
    <row r="143" spans="1:21" x14ac:dyDescent="0.25">
      <c r="A143">
        <f>Sheet1!A143</f>
        <v>142</v>
      </c>
      <c r="B143" t="str">
        <f>Sheet1!B143</f>
        <v>BENGKULU</v>
      </c>
      <c r="C143" t="str">
        <f>Sheet1!C143</f>
        <v>lendro prasatio</v>
      </c>
      <c r="D143" t="str">
        <f>Sheet1!D143</f>
        <v>ODRNO2607100044</v>
      </c>
      <c r="E143" t="str">
        <f>Sheet1!E143</f>
        <v>809PRS20260701269</v>
      </c>
      <c r="F143" t="str">
        <f>Sheet1!F143</f>
        <v>Sales Agent (SA)</v>
      </c>
      <c r="G143">
        <f>Sheet1!G143</f>
        <v>0</v>
      </c>
      <c r="H143">
        <f>Sheet1!H143</f>
        <v>0</v>
      </c>
      <c r="I143" t="str">
        <f>Sheet1!I143</f>
        <v>ADE CHANDRA PANE</v>
      </c>
      <c r="J143" s="2">
        <f>Sheet1!K143</f>
        <v>46213.382149305602</v>
      </c>
      <c r="K143" s="2">
        <f>Sheet1!L143</f>
        <v>46213.388954594899</v>
      </c>
      <c r="L143" t="str">
        <f>Sheet1!M143</f>
        <v>Prospect Cancel</v>
      </c>
      <c r="M143" t="str">
        <f>Sheet1!P143</f>
        <v>TOYOTA</v>
      </c>
      <c r="N143" t="str">
        <f>Sheet1!Q143</f>
        <v>2014</v>
      </c>
      <c r="O143">
        <f>Sheet1!AB143</f>
        <v>0</v>
      </c>
      <c r="P143" s="2">
        <f>Sheet1!AD143</f>
        <v>0</v>
      </c>
      <c r="Q143" t="str">
        <f>Sheet1!AI143</f>
        <v>SUPRIYANTO-126141</v>
      </c>
      <c r="R143" t="str">
        <f>Sheet1!AJ143</f>
        <v/>
      </c>
      <c r="S143" t="str">
        <f>Sheet1!AK143</f>
        <v>Cancel</v>
      </c>
      <c r="T143" t="str">
        <f>Sheet1!AL143</f>
        <v>SA</v>
      </c>
      <c r="U143">
        <f t="shared" si="2"/>
        <v>0</v>
      </c>
    </row>
    <row r="144" spans="1:21" x14ac:dyDescent="0.25">
      <c r="A144">
        <f>Sheet1!A144</f>
        <v>143</v>
      </c>
      <c r="B144" t="str">
        <f>Sheet1!B144</f>
        <v>BOGOR</v>
      </c>
      <c r="C144" t="str">
        <f>Sheet1!C144</f>
        <v>SYAMSUDIN</v>
      </c>
      <c r="D144" t="str">
        <f>Sheet1!D144</f>
        <v>ODRNO2607100001</v>
      </c>
      <c r="E144" t="str">
        <f>Sheet1!E144</f>
        <v>812PRS20260701321</v>
      </c>
      <c r="F144" t="str">
        <f>Sheet1!F144</f>
        <v>Sales Agent (SA)</v>
      </c>
      <c r="G144">
        <f>Sheet1!G144</f>
        <v>0</v>
      </c>
      <c r="H144">
        <f>Sheet1!H144</f>
        <v>0</v>
      </c>
      <c r="I144" t="str">
        <f>Sheet1!I144</f>
        <v>EKA SUNARYO</v>
      </c>
      <c r="J144" s="2">
        <f>Sheet1!K144</f>
        <v>46213.000807638899</v>
      </c>
      <c r="K144" s="2">
        <f>Sheet1!L144</f>
        <v>46213.302175925899</v>
      </c>
      <c r="L144" t="str">
        <f>Sheet1!M144</f>
        <v>Prospect Cancel</v>
      </c>
      <c r="M144" t="str">
        <f>Sheet1!P144</f>
        <v>HONDA</v>
      </c>
      <c r="N144" t="str">
        <f>Sheet1!Q144</f>
        <v>2012</v>
      </c>
      <c r="O144">
        <f>Sheet1!AB144</f>
        <v>0</v>
      </c>
      <c r="P144" s="2">
        <f>Sheet1!AD144</f>
        <v>0</v>
      </c>
      <c r="Q144" t="str">
        <f>Sheet1!AI144</f>
        <v>ZAKARIA-326116</v>
      </c>
      <c r="R144" t="str">
        <f>Sheet1!AJ144</f>
        <v/>
      </c>
      <c r="S144" t="str">
        <f>Sheet1!AK144</f>
        <v>Cancel</v>
      </c>
      <c r="T144" t="str">
        <f>Sheet1!AL144</f>
        <v>SA</v>
      </c>
      <c r="U144">
        <f t="shared" si="2"/>
        <v>0</v>
      </c>
    </row>
    <row r="145" spans="1:21" x14ac:dyDescent="0.25">
      <c r="A145">
        <f>Sheet1!A145</f>
        <v>144</v>
      </c>
      <c r="B145" t="str">
        <f>Sheet1!B145</f>
        <v>BOGOR</v>
      </c>
      <c r="C145" t="str">
        <f>Sheet1!C145</f>
        <v>arif hendrawan</v>
      </c>
      <c r="D145" t="str">
        <f>Sheet1!D145</f>
        <v>ODRNO2607100167</v>
      </c>
      <c r="E145" t="str">
        <f>Sheet1!E145</f>
        <v>812PRS20260701329</v>
      </c>
      <c r="F145" t="str">
        <f>Sheet1!F145</f>
        <v>Sales Agent (SA)</v>
      </c>
      <c r="G145">
        <f>Sheet1!G145</f>
        <v>0</v>
      </c>
      <c r="H145">
        <f>Sheet1!H145</f>
        <v>0</v>
      </c>
      <c r="I145" t="str">
        <f>Sheet1!I145</f>
        <v>SENJAYA BUDIMAN</v>
      </c>
      <c r="J145" s="2">
        <f>Sheet1!K145</f>
        <v>46213.7740249653</v>
      </c>
      <c r="K145" s="2">
        <f>Sheet1!L145</f>
        <v>46221.333345370404</v>
      </c>
      <c r="L145" t="str">
        <f>Sheet1!M145</f>
        <v>Prospect Cancel</v>
      </c>
      <c r="M145" t="str">
        <f>Sheet1!P145</f>
        <v>SUZUKI</v>
      </c>
      <c r="N145" t="str">
        <f>Sheet1!Q145</f>
        <v>2016</v>
      </c>
      <c r="O145">
        <f>Sheet1!AB145</f>
        <v>0</v>
      </c>
      <c r="P145" s="2">
        <f>Sheet1!AD145</f>
        <v>0</v>
      </c>
      <c r="Q145" t="str">
        <f>Sheet1!AI145</f>
        <v>FIFIT NADIA-0626047</v>
      </c>
      <c r="R145" t="str">
        <f>Sheet1!AJ145</f>
        <v/>
      </c>
      <c r="S145" t="str">
        <f>Sheet1!AK145</f>
        <v>Cancel</v>
      </c>
      <c r="T145" t="str">
        <f>Sheet1!AL145</f>
        <v>SA</v>
      </c>
      <c r="U145">
        <f t="shared" si="2"/>
        <v>0</v>
      </c>
    </row>
    <row r="146" spans="1:21" x14ac:dyDescent="0.25">
      <c r="A146">
        <f>Sheet1!A146</f>
        <v>145</v>
      </c>
      <c r="B146" t="str">
        <f>Sheet1!B146</f>
        <v>JAMBI</v>
      </c>
      <c r="C146" t="str">
        <f>Sheet1!C146</f>
        <v>DARSIAH</v>
      </c>
      <c r="D146" t="str">
        <f>Sheet1!D146</f>
        <v>ODRNO2607100094</v>
      </c>
      <c r="E146" t="str">
        <f>Sheet1!E146</f>
        <v>807PRS20260702933</v>
      </c>
      <c r="F146" t="str">
        <f>Sheet1!F146</f>
        <v>Sales Agent (SA)</v>
      </c>
      <c r="G146" t="str">
        <f>Sheet1!G146</f>
        <v>8071022600004</v>
      </c>
      <c r="H146" t="str">
        <f>Sheet1!H146</f>
        <v>807APP20260700050</v>
      </c>
      <c r="I146" t="str">
        <f>Sheet1!I146</f>
        <v>AGUS SURIADI</v>
      </c>
      <c r="J146" s="2">
        <f>Sheet1!K146</f>
        <v>46213.511258530103</v>
      </c>
      <c r="K146" s="2">
        <f>Sheet1!L146</f>
        <v>46217.607677696797</v>
      </c>
      <c r="L146" t="str">
        <f>Sheet1!M146</f>
        <v>Go Live</v>
      </c>
      <c r="M146" t="str">
        <f>Sheet1!P146</f>
        <v>TOYOTA</v>
      </c>
      <c r="N146" t="str">
        <f>Sheet1!Q146</f>
        <v>2024</v>
      </c>
      <c r="O146">
        <f>Sheet1!AB146</f>
        <v>113589000</v>
      </c>
      <c r="P146" s="2">
        <f>Sheet1!AD146</f>
        <v>46217</v>
      </c>
      <c r="Q146" t="str">
        <f>Sheet1!AI146</f>
        <v>ZULFITRAH-226053</v>
      </c>
      <c r="R146" t="str">
        <f>Sheet1!AJ146</f>
        <v/>
      </c>
      <c r="S146" t="str">
        <f>Sheet1!AK146</f>
        <v>Golive</v>
      </c>
      <c r="T146" t="str">
        <f>Sheet1!AL146</f>
        <v>SA</v>
      </c>
      <c r="U146" t="str">
        <f t="shared" si="2"/>
        <v>Done Survey</v>
      </c>
    </row>
    <row r="147" spans="1:21" x14ac:dyDescent="0.25">
      <c r="A147">
        <f>Sheet1!A147</f>
        <v>146</v>
      </c>
      <c r="B147" t="str">
        <f>Sheet1!B147</f>
        <v>KEMAYORAN</v>
      </c>
      <c r="C147" t="str">
        <f>Sheet1!C147</f>
        <v>Sarah</v>
      </c>
      <c r="D147" t="str">
        <f>Sheet1!D147</f>
        <v>ODRNO2607100139</v>
      </c>
      <c r="E147" t="str">
        <f>Sheet1!E147</f>
        <v>801PRS20260700887</v>
      </c>
      <c r="F147" t="str">
        <f>Sheet1!F147</f>
        <v>Sales Agent (SA)</v>
      </c>
      <c r="G147">
        <f>Sheet1!G147</f>
        <v>0</v>
      </c>
      <c r="H147">
        <f>Sheet1!H147</f>
        <v>0</v>
      </c>
      <c r="I147" t="str">
        <f>Sheet1!I147</f>
        <v>MUHAMMAD RIZQY KEMAL</v>
      </c>
      <c r="J147" s="2">
        <f>Sheet1!K147</f>
        <v>46213.6310149653</v>
      </c>
      <c r="K147" s="2">
        <f>Sheet1!L147</f>
        <v>46221.333345370404</v>
      </c>
      <c r="L147" t="str">
        <f>Sheet1!M147</f>
        <v>Prospect Cancel</v>
      </c>
      <c r="M147" t="str">
        <f>Sheet1!P147</f>
        <v>TOYOTA</v>
      </c>
      <c r="N147" t="str">
        <f>Sheet1!Q147</f>
        <v>2023</v>
      </c>
      <c r="O147">
        <f>Sheet1!AB147</f>
        <v>0</v>
      </c>
      <c r="P147" s="2">
        <f>Sheet1!AD147</f>
        <v>0</v>
      </c>
      <c r="Q147" t="str">
        <f>Sheet1!AI147</f>
        <v>YOHAN EDI SUSANTO-0726041</v>
      </c>
      <c r="R147" t="str">
        <f>Sheet1!AJ147</f>
        <v/>
      </c>
      <c r="S147" t="str">
        <f>Sheet1!AK147</f>
        <v>Cancel</v>
      </c>
      <c r="T147" t="str">
        <f>Sheet1!AL147</f>
        <v>SA</v>
      </c>
      <c r="U147">
        <f t="shared" si="2"/>
        <v>0</v>
      </c>
    </row>
    <row r="148" spans="1:21" x14ac:dyDescent="0.25">
      <c r="A148">
        <f>Sheet1!A148</f>
        <v>147</v>
      </c>
      <c r="B148" t="str">
        <f>Sheet1!B148</f>
        <v>LAMPUNG</v>
      </c>
      <c r="C148" t="str">
        <f>Sheet1!C148</f>
        <v>agus widodo</v>
      </c>
      <c r="D148" t="str">
        <f>Sheet1!D148</f>
        <v>ODRNO2607100100</v>
      </c>
      <c r="E148" t="str">
        <f>Sheet1!E148</f>
        <v>810PRS20260700691</v>
      </c>
      <c r="F148" t="str">
        <f>Sheet1!F148</f>
        <v>Sales Agent (SA)</v>
      </c>
      <c r="G148" t="str">
        <f>Sheet1!G148</f>
        <v>8101032600009</v>
      </c>
      <c r="H148" t="str">
        <f>Sheet1!H148</f>
        <v>810APP20260700020</v>
      </c>
      <c r="I148" t="str">
        <f>Sheet1!I148</f>
        <v>AZWAN</v>
      </c>
      <c r="J148" s="2">
        <f>Sheet1!K148</f>
        <v>46213.546977280101</v>
      </c>
      <c r="K148" s="2">
        <f>Sheet1!L148</f>
        <v>46219.5659241088</v>
      </c>
      <c r="L148" t="str">
        <f>Sheet1!M148</f>
        <v>Go Live</v>
      </c>
      <c r="M148" t="str">
        <f>Sheet1!P148</f>
        <v>TOYOTA</v>
      </c>
      <c r="N148" t="str">
        <f>Sheet1!Q148</f>
        <v>2016</v>
      </c>
      <c r="O148">
        <f>Sheet1!AB148</f>
        <v>87404000</v>
      </c>
      <c r="P148" s="2">
        <f>Sheet1!AD148</f>
        <v>46216</v>
      </c>
      <c r="Q148" t="str">
        <f>Sheet1!AI148</f>
        <v>MURNI ASIH-126120</v>
      </c>
      <c r="R148" t="str">
        <f>Sheet1!AJ148</f>
        <v/>
      </c>
      <c r="S148" t="str">
        <f>Sheet1!AK148</f>
        <v>Golive</v>
      </c>
      <c r="T148" t="str">
        <f>Sheet1!AL148</f>
        <v>SA</v>
      </c>
      <c r="U148" t="str">
        <f t="shared" si="2"/>
        <v>Done Survey</v>
      </c>
    </row>
    <row r="149" spans="1:21" x14ac:dyDescent="0.25">
      <c r="A149">
        <f>Sheet1!A149</f>
        <v>148</v>
      </c>
      <c r="B149" t="str">
        <f>Sheet1!B149</f>
        <v>MANADO</v>
      </c>
      <c r="C149" t="str">
        <f>Sheet1!C149</f>
        <v>IVAN WEMPIE MONDIGIR</v>
      </c>
      <c r="D149" t="str">
        <f>Sheet1!D149</f>
        <v>ODRNO2607100040</v>
      </c>
      <c r="E149" t="str">
        <f>Sheet1!E149</f>
        <v>828PRS20260700335</v>
      </c>
      <c r="F149" t="str">
        <f>Sheet1!F149</f>
        <v>Sales Agent (SA)</v>
      </c>
      <c r="G149">
        <f>Sheet1!G149</f>
        <v>0</v>
      </c>
      <c r="H149">
        <f>Sheet1!H149</f>
        <v>0</v>
      </c>
      <c r="I149" t="str">
        <f>Sheet1!I149</f>
        <v>BATIN E TUWUILU</v>
      </c>
      <c r="J149" s="2">
        <f>Sheet1!K149</f>
        <v>46213.379258182897</v>
      </c>
      <c r="K149" s="2">
        <f>Sheet1!L149</f>
        <v>46221.333345370404</v>
      </c>
      <c r="L149" t="str">
        <f>Sheet1!M149</f>
        <v>Prospect Cancel</v>
      </c>
      <c r="M149" t="str">
        <f>Sheet1!P149</f>
        <v>TOYOTA</v>
      </c>
      <c r="N149" t="str">
        <f>Sheet1!Q149</f>
        <v>2021</v>
      </c>
      <c r="O149">
        <f>Sheet1!AB149</f>
        <v>0</v>
      </c>
      <c r="P149" s="2">
        <f>Sheet1!AD149</f>
        <v>0</v>
      </c>
      <c r="Q149" t="str">
        <f>Sheet1!AI149</f>
        <v>FEBRIAN HIZKIA KEREH-0626050</v>
      </c>
      <c r="R149" t="str">
        <f>Sheet1!AJ149</f>
        <v/>
      </c>
      <c r="S149" t="str">
        <f>Sheet1!AK149</f>
        <v>Cancel</v>
      </c>
      <c r="T149" t="str">
        <f>Sheet1!AL149</f>
        <v>SA</v>
      </c>
      <c r="U149">
        <f t="shared" si="2"/>
        <v>0</v>
      </c>
    </row>
    <row r="150" spans="1:21" x14ac:dyDescent="0.25">
      <c r="A150">
        <f>Sheet1!A150</f>
        <v>149</v>
      </c>
      <c r="B150" t="str">
        <f>Sheet1!B150</f>
        <v>MEDAN DUA</v>
      </c>
      <c r="C150" t="str">
        <f>Sheet1!C150</f>
        <v>SOPHAN HENDRI MANALU</v>
      </c>
      <c r="D150" t="str">
        <f>Sheet1!D150</f>
        <v>ODRNO2607100083</v>
      </c>
      <c r="E150" t="str">
        <f>Sheet1!E150</f>
        <v>839PRS20260700914</v>
      </c>
      <c r="F150" t="str">
        <f>Sheet1!F150</f>
        <v>Sales Agent (SA)</v>
      </c>
      <c r="G150">
        <f>Sheet1!G150</f>
        <v>0</v>
      </c>
      <c r="H150">
        <f>Sheet1!H150</f>
        <v>0</v>
      </c>
      <c r="I150" t="str">
        <f>Sheet1!I150</f>
        <v>WASTO SIHOMBING</v>
      </c>
      <c r="J150" s="2">
        <f>Sheet1!K150</f>
        <v>46213.489382870401</v>
      </c>
      <c r="K150" s="2">
        <f>Sheet1!L150</f>
        <v>46221.333345370404</v>
      </c>
      <c r="L150" t="str">
        <f>Sheet1!M150</f>
        <v>Prospect Cancel</v>
      </c>
      <c r="M150" t="str">
        <f>Sheet1!P150</f>
        <v>TOYOTA</v>
      </c>
      <c r="N150" t="str">
        <f>Sheet1!Q150</f>
        <v>2019</v>
      </c>
      <c r="O150">
        <f>Sheet1!AB150</f>
        <v>0</v>
      </c>
      <c r="P150" s="2">
        <f>Sheet1!AD150</f>
        <v>0</v>
      </c>
      <c r="Q150" t="str">
        <f>Sheet1!AI150</f>
        <v>ALEXANDER SIREGAR-126373</v>
      </c>
      <c r="R150" t="str">
        <f>Sheet1!AJ150</f>
        <v/>
      </c>
      <c r="S150" t="str">
        <f>Sheet1!AK150</f>
        <v>Cancel</v>
      </c>
      <c r="T150" t="str">
        <f>Sheet1!AL150</f>
        <v>SA</v>
      </c>
      <c r="U150">
        <f t="shared" si="2"/>
        <v>0</v>
      </c>
    </row>
    <row r="151" spans="1:21" x14ac:dyDescent="0.25">
      <c r="A151">
        <f>Sheet1!A151</f>
        <v>150</v>
      </c>
      <c r="B151" t="str">
        <f>Sheet1!B151</f>
        <v>MEDAN DUA</v>
      </c>
      <c r="C151" t="str">
        <f>Sheet1!C151</f>
        <v>EWIN SUSANDRA</v>
      </c>
      <c r="D151" t="str">
        <f>Sheet1!D151</f>
        <v>ODRNO2607100084</v>
      </c>
      <c r="E151" t="str">
        <f>Sheet1!E151</f>
        <v>839PRS20260700915</v>
      </c>
      <c r="F151" t="str">
        <f>Sheet1!F151</f>
        <v>Sales Agent (SA)</v>
      </c>
      <c r="G151">
        <f>Sheet1!G151</f>
        <v>0</v>
      </c>
      <c r="H151">
        <f>Sheet1!H151</f>
        <v>0</v>
      </c>
      <c r="I151" t="str">
        <f>Sheet1!I151</f>
        <v>WASTO SIHOMBING</v>
      </c>
      <c r="J151" s="2">
        <f>Sheet1!K151</f>
        <v>46213.492082905097</v>
      </c>
      <c r="K151" s="2">
        <f>Sheet1!L151</f>
        <v>46213.503524155101</v>
      </c>
      <c r="L151" t="str">
        <f>Sheet1!M151</f>
        <v>Prospect Cancel</v>
      </c>
      <c r="M151" t="str">
        <f>Sheet1!P151</f>
        <v>TOYOTA</v>
      </c>
      <c r="N151" t="str">
        <f>Sheet1!Q151</f>
        <v>2016</v>
      </c>
      <c r="O151">
        <f>Sheet1!AB151</f>
        <v>0</v>
      </c>
      <c r="P151" s="2">
        <f>Sheet1!AD151</f>
        <v>0</v>
      </c>
      <c r="Q151" t="str">
        <f>Sheet1!AI151</f>
        <v>ALEXANDER SIREGAR-126373</v>
      </c>
      <c r="R151" t="str">
        <f>Sheet1!AJ151</f>
        <v/>
      </c>
      <c r="S151" t="str">
        <f>Sheet1!AK151</f>
        <v>Cancel</v>
      </c>
      <c r="T151" t="str">
        <f>Sheet1!AL151</f>
        <v>SA</v>
      </c>
      <c r="U151">
        <f t="shared" si="2"/>
        <v>0</v>
      </c>
    </row>
    <row r="152" spans="1:21" x14ac:dyDescent="0.25">
      <c r="A152">
        <f>Sheet1!A152</f>
        <v>151</v>
      </c>
      <c r="B152" t="str">
        <f>Sheet1!B152</f>
        <v>SEMARANG</v>
      </c>
      <c r="C152" t="str">
        <f>Sheet1!C152</f>
        <v>ENDARTO</v>
      </c>
      <c r="D152" t="str">
        <f>Sheet1!D152</f>
        <v>ODRNO2607100105</v>
      </c>
      <c r="E152" t="str">
        <f>Sheet1!E152</f>
        <v>816PRS20260700616</v>
      </c>
      <c r="F152" t="str">
        <f>Sheet1!F152</f>
        <v>Sales Agent (SA)</v>
      </c>
      <c r="G152" t="str">
        <f>Sheet1!G152</f>
        <v>8161022600003</v>
      </c>
      <c r="H152" t="str">
        <f>Sheet1!H152</f>
        <v>816APP20260700027</v>
      </c>
      <c r="I152" t="str">
        <f>Sheet1!I152</f>
        <v>SIGIT SUBEKTI</v>
      </c>
      <c r="J152" s="2">
        <f>Sheet1!K152</f>
        <v>46213.5550631597</v>
      </c>
      <c r="K152" s="2">
        <f>Sheet1!L152</f>
        <v>46217.469714351901</v>
      </c>
      <c r="L152" t="str">
        <f>Sheet1!M152</f>
        <v>Go Live</v>
      </c>
      <c r="M152" t="str">
        <f>Sheet1!P152</f>
        <v>DAIHATSU</v>
      </c>
      <c r="N152" t="str">
        <f>Sheet1!Q152</f>
        <v>2020</v>
      </c>
      <c r="O152">
        <f>Sheet1!AB152</f>
        <v>94350095</v>
      </c>
      <c r="P152" s="2">
        <f>Sheet1!AD152</f>
        <v>46216</v>
      </c>
      <c r="Q152" t="str">
        <f>Sheet1!AI152</f>
        <v>DONNIE PRASTIYO-526010</v>
      </c>
      <c r="R152" t="str">
        <f>Sheet1!AJ152</f>
        <v/>
      </c>
      <c r="S152" t="str">
        <f>Sheet1!AK152</f>
        <v>Golive</v>
      </c>
      <c r="T152" t="str">
        <f>Sheet1!AL152</f>
        <v>SA</v>
      </c>
      <c r="U152" t="str">
        <f t="shared" si="2"/>
        <v>Done Survey</v>
      </c>
    </row>
    <row r="153" spans="1:21" x14ac:dyDescent="0.25">
      <c r="A153">
        <f>Sheet1!A153</f>
        <v>152</v>
      </c>
      <c r="B153" t="str">
        <f>Sheet1!B153</f>
        <v>BATAM</v>
      </c>
      <c r="C153" t="str">
        <f>Sheet1!C153</f>
        <v>murniati</v>
      </c>
      <c r="D153" t="str">
        <f>Sheet1!D153</f>
        <v>ODRNO2607110037</v>
      </c>
      <c r="E153" t="str">
        <f>Sheet1!E153</f>
        <v>806PRS20260702115</v>
      </c>
      <c r="F153" t="str">
        <f>Sheet1!F153</f>
        <v>Sales Agent (SA)</v>
      </c>
      <c r="G153" t="str">
        <f>Sheet1!G153</f>
        <v>8061032600002</v>
      </c>
      <c r="H153" t="str">
        <f>Sheet1!H153</f>
        <v>806APP20260700036</v>
      </c>
      <c r="I153" t="str">
        <f>Sheet1!I153</f>
        <v>WELLY PRIMA SANDI</v>
      </c>
      <c r="J153" s="2">
        <f>Sheet1!K153</f>
        <v>46214.391479050901</v>
      </c>
      <c r="K153" s="2">
        <f>Sheet1!L153</f>
        <v>46219.526665393503</v>
      </c>
      <c r="L153" t="str">
        <f>Sheet1!M153</f>
        <v>Go Live</v>
      </c>
      <c r="M153" t="str">
        <f>Sheet1!P153</f>
        <v>LEXUS</v>
      </c>
      <c r="N153" t="str">
        <f>Sheet1!Q153</f>
        <v>2015</v>
      </c>
      <c r="O153">
        <f>Sheet1!AB153</f>
        <v>267878500</v>
      </c>
      <c r="P153" s="2">
        <f>Sheet1!AD153</f>
        <v>46216</v>
      </c>
      <c r="Q153" t="str">
        <f>Sheet1!AI153</f>
        <v>ADINDA RAHMAN SITANGGANG-226083</v>
      </c>
      <c r="R153" t="str">
        <f>Sheet1!AJ153</f>
        <v/>
      </c>
      <c r="S153" t="str">
        <f>Sheet1!AK153</f>
        <v>Golive</v>
      </c>
      <c r="T153" t="str">
        <f>Sheet1!AL153</f>
        <v>SA</v>
      </c>
      <c r="U153" t="str">
        <f t="shared" si="2"/>
        <v>Done Survey</v>
      </c>
    </row>
    <row r="154" spans="1:21" x14ac:dyDescent="0.25">
      <c r="A154">
        <f>Sheet1!A154</f>
        <v>153</v>
      </c>
      <c r="B154" t="str">
        <f>Sheet1!B154</f>
        <v>BEKASI</v>
      </c>
      <c r="C154" t="str">
        <f>Sheet1!C154</f>
        <v>YUDI WARSITO</v>
      </c>
      <c r="D154" t="str">
        <f>Sheet1!D154</f>
        <v>ODRNO2607110141</v>
      </c>
      <c r="E154" t="str">
        <f>Sheet1!E154</f>
        <v>811PRS20260704723</v>
      </c>
      <c r="F154" t="str">
        <f>Sheet1!F154</f>
        <v>Sales Agent (SA)</v>
      </c>
      <c r="G154">
        <f>Sheet1!G154</f>
        <v>0</v>
      </c>
      <c r="H154">
        <f>Sheet1!H154</f>
        <v>0</v>
      </c>
      <c r="I154" t="str">
        <f>Sheet1!I154</f>
        <v>KURNIAWAN ARIBOWO</v>
      </c>
      <c r="J154" s="2">
        <f>Sheet1!K154</f>
        <v>46214.992101157397</v>
      </c>
      <c r="K154" s="2">
        <f>Sheet1!L154</f>
        <v>46223.333348495398</v>
      </c>
      <c r="L154" t="str">
        <f>Sheet1!M154</f>
        <v>Prospect Cancel</v>
      </c>
      <c r="M154" t="str">
        <f>Sheet1!P154</f>
        <v>TOYOTA</v>
      </c>
      <c r="N154" t="str">
        <f>Sheet1!Q154</f>
        <v>2018</v>
      </c>
      <c r="O154">
        <f>Sheet1!AB154</f>
        <v>0</v>
      </c>
      <c r="P154" s="2">
        <f>Sheet1!AD154</f>
        <v>0</v>
      </c>
      <c r="Q154" t="str">
        <f>Sheet1!AI154</f>
        <v>MUHAMAD ILYAS-526007</v>
      </c>
      <c r="R154" t="str">
        <f>Sheet1!AJ154</f>
        <v/>
      </c>
      <c r="S154" t="str">
        <f>Sheet1!AK154</f>
        <v>Cancel</v>
      </c>
      <c r="T154" t="str">
        <f>Sheet1!AL154</f>
        <v>SA</v>
      </c>
      <c r="U154">
        <f t="shared" si="2"/>
        <v>0</v>
      </c>
    </row>
    <row r="155" spans="1:21" x14ac:dyDescent="0.25">
      <c r="A155">
        <f>Sheet1!A155</f>
        <v>154</v>
      </c>
      <c r="B155" t="str">
        <f>Sheet1!B155</f>
        <v>BOGOR</v>
      </c>
      <c r="C155" t="str">
        <f>Sheet1!C155</f>
        <v>MUHAMMAD MAFTUH AHNAN</v>
      </c>
      <c r="D155" t="str">
        <f>Sheet1!D155</f>
        <v>ODRNO2607110001</v>
      </c>
      <c r="E155" t="str">
        <f>Sheet1!E155</f>
        <v>812PRS20260701330</v>
      </c>
      <c r="F155" t="str">
        <f>Sheet1!F155</f>
        <v>Sales Agent (SA)</v>
      </c>
      <c r="G155">
        <f>Sheet1!G155</f>
        <v>0</v>
      </c>
      <c r="H155">
        <f>Sheet1!H155</f>
        <v>0</v>
      </c>
      <c r="I155" t="str">
        <f>Sheet1!I155</f>
        <v>EKA SUNARYO</v>
      </c>
      <c r="J155" s="2">
        <f>Sheet1!K155</f>
        <v>46214.000195405097</v>
      </c>
      <c r="K155" s="2">
        <f>Sheet1!L155</f>
        <v>46222.333345868101</v>
      </c>
      <c r="L155" t="str">
        <f>Sheet1!M155</f>
        <v>Prospect Cancel</v>
      </c>
      <c r="M155" t="str">
        <f>Sheet1!P155</f>
        <v>TOYOTA</v>
      </c>
      <c r="N155" t="str">
        <f>Sheet1!Q155</f>
        <v>2017</v>
      </c>
      <c r="O155">
        <f>Sheet1!AB155</f>
        <v>0</v>
      </c>
      <c r="P155" s="2">
        <f>Sheet1!AD155</f>
        <v>0</v>
      </c>
      <c r="Q155" t="str">
        <f>Sheet1!AI155</f>
        <v>FERI MUSLIH-526014</v>
      </c>
      <c r="R155" t="str">
        <f>Sheet1!AJ155</f>
        <v/>
      </c>
      <c r="S155" t="str">
        <f>Sheet1!AK155</f>
        <v>Cancel</v>
      </c>
      <c r="T155" t="str">
        <f>Sheet1!AL155</f>
        <v>SA</v>
      </c>
      <c r="U155">
        <f t="shared" si="2"/>
        <v>0</v>
      </c>
    </row>
    <row r="156" spans="1:21" x14ac:dyDescent="0.25">
      <c r="A156">
        <f>Sheet1!A156</f>
        <v>155</v>
      </c>
      <c r="B156" t="str">
        <f>Sheet1!B156</f>
        <v>MANADO</v>
      </c>
      <c r="C156" t="str">
        <f>Sheet1!C156</f>
        <v>FERNANDO RICHARD WALUJAN</v>
      </c>
      <c r="D156" t="str">
        <f>Sheet1!D156</f>
        <v>ODRNO2607110009</v>
      </c>
      <c r="E156" t="str">
        <f>Sheet1!E156</f>
        <v>828PRS20260700336</v>
      </c>
      <c r="F156" t="str">
        <f>Sheet1!F156</f>
        <v>Sales Agent (SA)</v>
      </c>
      <c r="G156">
        <f>Sheet1!G156</f>
        <v>0</v>
      </c>
      <c r="H156">
        <f>Sheet1!H156</f>
        <v>0</v>
      </c>
      <c r="I156" t="str">
        <f>Sheet1!I156</f>
        <v>BATIN E TUWUILU</v>
      </c>
      <c r="J156" s="2">
        <f>Sheet1!K156</f>
        <v>46214.304585960701</v>
      </c>
      <c r="K156" s="2">
        <f>Sheet1!L156</f>
        <v>46214.312564895801</v>
      </c>
      <c r="L156" t="str">
        <f>Sheet1!M156</f>
        <v>Prospect Cancel</v>
      </c>
      <c r="M156" t="str">
        <f>Sheet1!P156</f>
        <v>HYUNDAI</v>
      </c>
      <c r="N156" t="str">
        <f>Sheet1!Q156</f>
        <v>2023</v>
      </c>
      <c r="O156">
        <f>Sheet1!AB156</f>
        <v>0</v>
      </c>
      <c r="P156" s="2">
        <f>Sheet1!AD156</f>
        <v>0</v>
      </c>
      <c r="Q156" t="str">
        <f>Sheet1!AI156</f>
        <v>MEIDY JUFRY RIANTO SENEWE-0626009</v>
      </c>
      <c r="R156" t="str">
        <f>Sheet1!AJ156</f>
        <v/>
      </c>
      <c r="S156" t="str">
        <f>Sheet1!AK156</f>
        <v>Cancel</v>
      </c>
      <c r="T156" t="str">
        <f>Sheet1!AL156</f>
        <v>SA</v>
      </c>
      <c r="U156">
        <f t="shared" si="2"/>
        <v>0</v>
      </c>
    </row>
    <row r="157" spans="1:21" x14ac:dyDescent="0.25">
      <c r="A157">
        <f>Sheet1!A157</f>
        <v>156</v>
      </c>
      <c r="B157" t="str">
        <f>Sheet1!B157</f>
        <v>MANADO</v>
      </c>
      <c r="C157" t="str">
        <f>Sheet1!C157</f>
        <v>JARIN BERENTIAN</v>
      </c>
      <c r="D157" t="str">
        <f>Sheet1!D157</f>
        <v>ODRNO2607110010</v>
      </c>
      <c r="E157" t="str">
        <f>Sheet1!E157</f>
        <v>828PRS20260700337</v>
      </c>
      <c r="F157" t="str">
        <f>Sheet1!F157</f>
        <v>Sales Agent (SA)</v>
      </c>
      <c r="G157">
        <f>Sheet1!G157</f>
        <v>0</v>
      </c>
      <c r="H157">
        <f>Sheet1!H157</f>
        <v>0</v>
      </c>
      <c r="I157" t="str">
        <f>Sheet1!I157</f>
        <v>BATIN E TUWUILU</v>
      </c>
      <c r="J157" s="2">
        <f>Sheet1!K157</f>
        <v>46214.308006944397</v>
      </c>
      <c r="K157" s="2">
        <f>Sheet1!L157</f>
        <v>46222.333345868101</v>
      </c>
      <c r="L157" t="str">
        <f>Sheet1!M157</f>
        <v>Prospect Cancel</v>
      </c>
      <c r="M157" t="str">
        <f>Sheet1!P157</f>
        <v>WULING</v>
      </c>
      <c r="N157" t="str">
        <f>Sheet1!Q157</f>
        <v>2019</v>
      </c>
      <c r="O157">
        <f>Sheet1!AB157</f>
        <v>0</v>
      </c>
      <c r="P157" s="2">
        <f>Sheet1!AD157</f>
        <v>0</v>
      </c>
      <c r="Q157" t="str">
        <f>Sheet1!AI157</f>
        <v>FEBRIAN HIZKIA KEREH-0626050</v>
      </c>
      <c r="R157" t="str">
        <f>Sheet1!AJ157</f>
        <v/>
      </c>
      <c r="S157" t="str">
        <f>Sheet1!AK157</f>
        <v>Cancel</v>
      </c>
      <c r="T157" t="str">
        <f>Sheet1!AL157</f>
        <v>SA</v>
      </c>
      <c r="U157">
        <f t="shared" si="2"/>
        <v>0</v>
      </c>
    </row>
    <row r="158" spans="1:21" x14ac:dyDescent="0.25">
      <c r="A158">
        <f>Sheet1!A158</f>
        <v>157</v>
      </c>
      <c r="B158" t="str">
        <f>Sheet1!B158</f>
        <v>ALAM SUTERA</v>
      </c>
      <c r="C158" t="str">
        <f>Sheet1!C158</f>
        <v>EKO SUHARJANTO BUDI PRAKOSO</v>
      </c>
      <c r="D158" t="str">
        <f>Sheet1!D158</f>
        <v>ODRNO2607130220</v>
      </c>
      <c r="E158" t="str">
        <f>Sheet1!E158</f>
        <v>838PRS20260702530</v>
      </c>
      <c r="F158" t="str">
        <f>Sheet1!F158</f>
        <v>Telemarketing Program</v>
      </c>
      <c r="G158" t="str">
        <f>Sheet1!G158</f>
        <v>8381022600041</v>
      </c>
      <c r="H158" t="str">
        <f>Sheet1!H158</f>
        <v>838APP20260700046</v>
      </c>
      <c r="I158" t="str">
        <f>Sheet1!I158</f>
        <v>IBRAHIM AZIZ</v>
      </c>
      <c r="J158" s="2">
        <f>Sheet1!K158</f>
        <v>46216.528272025498</v>
      </c>
      <c r="K158" s="2">
        <f>Sheet1!L158</f>
        <v>46218.692565590303</v>
      </c>
      <c r="L158" t="str">
        <f>Sheet1!M158</f>
        <v>Go Live</v>
      </c>
      <c r="M158" t="str">
        <f>Sheet1!P158</f>
        <v>SUZUKI</v>
      </c>
      <c r="N158" t="str">
        <f>Sheet1!Q158</f>
        <v>2017</v>
      </c>
      <c r="O158">
        <f>Sheet1!AB158</f>
        <v>81738500</v>
      </c>
      <c r="P158" s="2">
        <f>Sheet1!AD158</f>
        <v>46218</v>
      </c>
      <c r="Q158">
        <f>Sheet1!AI158</f>
        <v>0</v>
      </c>
      <c r="R158">
        <f>Sheet1!AJ158</f>
        <v>0</v>
      </c>
      <c r="S158" t="str">
        <f>Sheet1!AK158</f>
        <v>Golive</v>
      </c>
      <c r="T158" t="str">
        <f>Sheet1!AL158</f>
        <v>Tele</v>
      </c>
      <c r="U158" t="str">
        <f t="shared" si="2"/>
        <v>Done Survey</v>
      </c>
    </row>
    <row r="159" spans="1:21" x14ac:dyDescent="0.25">
      <c r="A159">
        <f>Sheet1!A159</f>
        <v>158</v>
      </c>
      <c r="B159" t="str">
        <f>Sheet1!B159</f>
        <v>ALAM SUTERA</v>
      </c>
      <c r="C159" t="str">
        <f>Sheet1!C159</f>
        <v>TURIMAN</v>
      </c>
      <c r="D159" t="str">
        <f>Sheet1!D159</f>
        <v>ODRNO2607130278</v>
      </c>
      <c r="E159" t="str">
        <f>Sheet1!E159</f>
        <v>838PRS20260702536</v>
      </c>
      <c r="F159" t="str">
        <f>Sheet1!F159</f>
        <v>Telemarketing Program</v>
      </c>
      <c r="G159">
        <f>Sheet1!G159</f>
        <v>0</v>
      </c>
      <c r="H159">
        <f>Sheet1!H159</f>
        <v>0</v>
      </c>
      <c r="I159" t="str">
        <f>Sheet1!I159</f>
        <v>IBRAHIM AZIZ</v>
      </c>
      <c r="J159" s="2">
        <f>Sheet1!K159</f>
        <v>46216.620857326401</v>
      </c>
      <c r="K159" s="2">
        <f>Sheet1!L159</f>
        <v>46217.291846990702</v>
      </c>
      <c r="L159" t="str">
        <f>Sheet1!M159</f>
        <v>Prospect Cancel</v>
      </c>
      <c r="M159" t="str">
        <f>Sheet1!P159</f>
        <v>SUZUKI</v>
      </c>
      <c r="N159" t="str">
        <f>Sheet1!Q159</f>
        <v>2014</v>
      </c>
      <c r="O159">
        <f>Sheet1!AB159</f>
        <v>0</v>
      </c>
      <c r="P159" s="2">
        <f>Sheet1!AD159</f>
        <v>0</v>
      </c>
      <c r="Q159">
        <f>Sheet1!AI159</f>
        <v>0</v>
      </c>
      <c r="R159">
        <f>Sheet1!AJ159</f>
        <v>0</v>
      </c>
      <c r="S159" t="str">
        <f>Sheet1!AK159</f>
        <v>Cancel</v>
      </c>
      <c r="T159" t="str">
        <f>Sheet1!AL159</f>
        <v>Tele</v>
      </c>
      <c r="U159">
        <f t="shared" si="2"/>
        <v>0</v>
      </c>
    </row>
    <row r="160" spans="1:21" x14ac:dyDescent="0.25">
      <c r="A160">
        <f>Sheet1!A160</f>
        <v>159</v>
      </c>
      <c r="B160" t="str">
        <f>Sheet1!B160</f>
        <v>ALAM SUTERA</v>
      </c>
      <c r="C160" t="str">
        <f>Sheet1!C160</f>
        <v>TURIMAN</v>
      </c>
      <c r="D160" t="str">
        <f>Sheet1!D160</f>
        <v>ODRNO2607130319</v>
      </c>
      <c r="E160" t="str">
        <f>Sheet1!E160</f>
        <v>838PRS20260702539</v>
      </c>
      <c r="F160" t="str">
        <f>Sheet1!F160</f>
        <v>Telemarketing Program</v>
      </c>
      <c r="G160" t="str">
        <f>Sheet1!G160</f>
        <v>8381022600042</v>
      </c>
      <c r="H160" t="str">
        <f>Sheet1!H160</f>
        <v>838APP20260700054</v>
      </c>
      <c r="I160" t="str">
        <f>Sheet1!I160</f>
        <v>IBRAHIM AZIZ</v>
      </c>
      <c r="J160" s="2">
        <f>Sheet1!K160</f>
        <v>46216.6936019676</v>
      </c>
      <c r="K160" s="2">
        <f>Sheet1!L160</f>
        <v>46221.2699621875</v>
      </c>
      <c r="L160" t="str">
        <f>Sheet1!M160</f>
        <v>Go Live</v>
      </c>
      <c r="M160" t="str">
        <f>Sheet1!P160</f>
        <v>SUZUKI</v>
      </c>
      <c r="N160" t="str">
        <f>Sheet1!Q160</f>
        <v>2014</v>
      </c>
      <c r="O160">
        <f>Sheet1!AB160</f>
        <v>88541000</v>
      </c>
      <c r="P160" s="2">
        <f>Sheet1!AD160</f>
        <v>46220</v>
      </c>
      <c r="Q160">
        <f>Sheet1!AI160</f>
        <v>0</v>
      </c>
      <c r="R160">
        <f>Sheet1!AJ160</f>
        <v>0</v>
      </c>
      <c r="S160" t="str">
        <f>Sheet1!AK160</f>
        <v>Golive</v>
      </c>
      <c r="T160" t="str">
        <f>Sheet1!AL160</f>
        <v>Tele</v>
      </c>
      <c r="U160" t="str">
        <f t="shared" si="2"/>
        <v>Done Survey</v>
      </c>
    </row>
    <row r="161" spans="1:21" x14ac:dyDescent="0.25">
      <c r="A161">
        <f>Sheet1!A161</f>
        <v>160</v>
      </c>
      <c r="B161" t="str">
        <f>Sheet1!B161</f>
        <v>ALAM SUTERA</v>
      </c>
      <c r="C161" t="str">
        <f>Sheet1!C161</f>
        <v>SARAH</v>
      </c>
      <c r="D161" t="str">
        <f>Sheet1!D161</f>
        <v>ODRNO2607130381</v>
      </c>
      <c r="E161" t="str">
        <f>Sheet1!E161</f>
        <v>838PRS20260702541</v>
      </c>
      <c r="F161" t="str">
        <f>Sheet1!F161</f>
        <v>Sales Agent (SA)</v>
      </c>
      <c r="G161" t="str">
        <f>Sheet1!G161</f>
        <v>8381032600025</v>
      </c>
      <c r="H161" t="str">
        <f>Sheet1!H161</f>
        <v>838APP20260700058</v>
      </c>
      <c r="I161" t="str">
        <f>Sheet1!I161</f>
        <v>IBRAHIM AZIZ</v>
      </c>
      <c r="J161" s="2">
        <f>Sheet1!K161</f>
        <v>46216.994546562499</v>
      </c>
      <c r="K161" s="2">
        <f>Sheet1!L161</f>
        <v>46222.961052048602</v>
      </c>
      <c r="L161" t="str">
        <f>Sheet1!M161</f>
        <v>Go Live</v>
      </c>
      <c r="M161" t="str">
        <f>Sheet1!P161</f>
        <v>TOYOTA</v>
      </c>
      <c r="N161" t="str">
        <f>Sheet1!Q161</f>
        <v>2023</v>
      </c>
      <c r="O161">
        <f>Sheet1!AB161</f>
        <v>556371000</v>
      </c>
      <c r="P161" s="2">
        <f>Sheet1!AD161</f>
        <v>46219</v>
      </c>
      <c r="Q161" t="str">
        <f>Sheet1!AI161</f>
        <v>APRILLIA ANGGRAENI-126005</v>
      </c>
      <c r="R161" t="str">
        <f>Sheet1!AJ161</f>
        <v/>
      </c>
      <c r="S161" t="str">
        <f>Sheet1!AK161</f>
        <v>Golive</v>
      </c>
      <c r="T161" t="str">
        <f>Sheet1!AL161</f>
        <v>SA</v>
      </c>
      <c r="U161" t="str">
        <f t="shared" si="2"/>
        <v>Done Survey</v>
      </c>
    </row>
    <row r="162" spans="1:21" x14ac:dyDescent="0.25">
      <c r="A162">
        <f>Sheet1!A162</f>
        <v>161</v>
      </c>
      <c r="B162" t="str">
        <f>Sheet1!B162</f>
        <v>BANDUNG</v>
      </c>
      <c r="C162" t="str">
        <f>Sheet1!C162</f>
        <v>Indras Setian</v>
      </c>
      <c r="D162" t="str">
        <f>Sheet1!D162</f>
        <v>ODRNO2607130030</v>
      </c>
      <c r="E162" t="str">
        <f>Sheet1!E162</f>
        <v>813PRS20260705311</v>
      </c>
      <c r="F162" t="str">
        <f>Sheet1!F162</f>
        <v>Sales Agent (SA)</v>
      </c>
      <c r="G162">
        <f>Sheet1!G162</f>
        <v>0</v>
      </c>
      <c r="H162">
        <f>Sheet1!H162</f>
        <v>0</v>
      </c>
      <c r="I162" t="str">
        <f>Sheet1!I162</f>
        <v>RISKI DALNI</v>
      </c>
      <c r="J162" s="2">
        <f>Sheet1!K162</f>
        <v>46216.394528124998</v>
      </c>
      <c r="K162" s="2">
        <f>Sheet1!L162</f>
        <v>46216.410741354201</v>
      </c>
      <c r="L162" t="str">
        <f>Sheet1!M162</f>
        <v>Prospect Cancel</v>
      </c>
      <c r="M162" t="str">
        <f>Sheet1!P162</f>
        <v>TOYOTA</v>
      </c>
      <c r="N162" t="str">
        <f>Sheet1!Q162</f>
        <v>2022</v>
      </c>
      <c r="O162">
        <f>Sheet1!AB162</f>
        <v>0</v>
      </c>
      <c r="P162" s="2">
        <f>Sheet1!AD162</f>
        <v>0</v>
      </c>
      <c r="Q162" t="str">
        <f>Sheet1!AI162</f>
        <v>AHMAD ZAENI-0626025</v>
      </c>
      <c r="R162" t="str">
        <f>Sheet1!AJ162</f>
        <v/>
      </c>
      <c r="S162" t="str">
        <f>Sheet1!AK162</f>
        <v>Cancel</v>
      </c>
      <c r="T162" t="str">
        <f>Sheet1!AL162</f>
        <v>SA</v>
      </c>
      <c r="U162">
        <f t="shared" si="2"/>
        <v>0</v>
      </c>
    </row>
    <row r="163" spans="1:21" x14ac:dyDescent="0.25">
      <c r="A163">
        <f>Sheet1!A163</f>
        <v>162</v>
      </c>
      <c r="B163" t="str">
        <f>Sheet1!B163</f>
        <v>BANDUNG</v>
      </c>
      <c r="C163" t="str">
        <f>Sheet1!C163</f>
        <v>Rahmat Gunawan</v>
      </c>
      <c r="D163" t="str">
        <f>Sheet1!D163</f>
        <v>ODRNO2607130046</v>
      </c>
      <c r="E163" t="str">
        <f>Sheet1!E163</f>
        <v>813PRS20260705316</v>
      </c>
      <c r="F163" t="str">
        <f>Sheet1!F163</f>
        <v>LandingPage</v>
      </c>
      <c r="G163">
        <f>Sheet1!G163</f>
        <v>0</v>
      </c>
      <c r="H163">
        <f>Sheet1!H163</f>
        <v>0</v>
      </c>
      <c r="I163" t="str">
        <f>Sheet1!I163</f>
        <v>RISKI DALNI</v>
      </c>
      <c r="J163" s="2">
        <f>Sheet1!K163</f>
        <v>46216.399144942101</v>
      </c>
      <c r="K163" s="2">
        <f>Sheet1!L163</f>
        <v>46224.333344097198</v>
      </c>
      <c r="L163" t="str">
        <f>Sheet1!M163</f>
        <v>Prospect Cancel</v>
      </c>
      <c r="M163" t="str">
        <f>Sheet1!P163</f>
        <v>SUZUKI</v>
      </c>
      <c r="N163" t="str">
        <f>Sheet1!Q163</f>
        <v>2022</v>
      </c>
      <c r="O163">
        <f>Sheet1!AB163</f>
        <v>0</v>
      </c>
      <c r="P163" s="2">
        <f>Sheet1!AD163</f>
        <v>0</v>
      </c>
      <c r="Q163">
        <f>Sheet1!AI163</f>
        <v>0</v>
      </c>
      <c r="R163">
        <f>Sheet1!AJ163</f>
        <v>0</v>
      </c>
      <c r="S163" t="str">
        <f>Sheet1!AK163</f>
        <v>Cancel</v>
      </c>
      <c r="T163" t="str">
        <f>Sheet1!AL163</f>
        <v>SA</v>
      </c>
      <c r="U163">
        <f t="shared" si="2"/>
        <v>0</v>
      </c>
    </row>
    <row r="164" spans="1:21" x14ac:dyDescent="0.25">
      <c r="A164">
        <f>Sheet1!A164</f>
        <v>163</v>
      </c>
      <c r="B164" t="str">
        <f>Sheet1!B164</f>
        <v>BANDUNG</v>
      </c>
      <c r="C164" t="str">
        <f>Sheet1!C164</f>
        <v>Ratna Komala</v>
      </c>
      <c r="D164" t="str">
        <f>Sheet1!D164</f>
        <v>ODRNO2607130186</v>
      </c>
      <c r="E164" t="str">
        <f>Sheet1!E164</f>
        <v>813PRS20260705329</v>
      </c>
      <c r="F164" t="str">
        <f>Sheet1!F164</f>
        <v>Sales Agent (SA)</v>
      </c>
      <c r="G164" t="str">
        <f>Sheet1!G164</f>
        <v>8131032600015</v>
      </c>
      <c r="H164" t="str">
        <f>Sheet1!H164</f>
        <v>813APP20260700078</v>
      </c>
      <c r="I164" t="str">
        <f>Sheet1!I164</f>
        <v>RISKI DALNI</v>
      </c>
      <c r="J164" s="2">
        <f>Sheet1!K164</f>
        <v>46216.482919675902</v>
      </c>
      <c r="K164" s="2">
        <f>Sheet1!L164</f>
        <v>46219.642732835702</v>
      </c>
      <c r="L164" t="str">
        <f>Sheet1!M164</f>
        <v>Go Live</v>
      </c>
      <c r="M164" t="str">
        <f>Sheet1!P164</f>
        <v>TOYOTA</v>
      </c>
      <c r="N164" t="str">
        <f>Sheet1!Q164</f>
        <v>2011</v>
      </c>
      <c r="O164">
        <f>Sheet1!AB164</f>
        <v>148721000</v>
      </c>
      <c r="P164" s="2">
        <f>Sheet1!AD164</f>
        <v>46218</v>
      </c>
      <c r="Q164" t="str">
        <f>Sheet1!AI164</f>
        <v>HERNA SIGIRO-126305</v>
      </c>
      <c r="R164" t="str">
        <f>Sheet1!AJ164</f>
        <v/>
      </c>
      <c r="S164" t="str">
        <f>Sheet1!AK164</f>
        <v>Golive</v>
      </c>
      <c r="T164" t="str">
        <f>Sheet1!AL164</f>
        <v>SA</v>
      </c>
      <c r="U164" t="str">
        <f t="shared" si="2"/>
        <v>Done Survey</v>
      </c>
    </row>
    <row r="165" spans="1:21" x14ac:dyDescent="0.25">
      <c r="A165">
        <f>Sheet1!A165</f>
        <v>164</v>
      </c>
      <c r="B165" t="str">
        <f>Sheet1!B165</f>
        <v>BANDUNG</v>
      </c>
      <c r="C165" t="str">
        <f>Sheet1!C165</f>
        <v>NITA PURWITA GANDANA</v>
      </c>
      <c r="D165" t="str">
        <f>Sheet1!D165</f>
        <v>ODRNO2607130348</v>
      </c>
      <c r="E165" t="str">
        <f>Sheet1!E165</f>
        <v>813PRS20260705348</v>
      </c>
      <c r="F165" t="str">
        <f>Sheet1!F165</f>
        <v>Sales Agent (SA)</v>
      </c>
      <c r="G165">
        <f>Sheet1!G165</f>
        <v>0</v>
      </c>
      <c r="H165" t="str">
        <f>Sheet1!H165</f>
        <v>813APP20260700079</v>
      </c>
      <c r="I165" t="str">
        <f>Sheet1!I165</f>
        <v>RAMDHAN FIRMANSYAH</v>
      </c>
      <c r="J165" s="2">
        <f>Sheet1!K165</f>
        <v>46216.7684188657</v>
      </c>
      <c r="K165" s="2">
        <f>Sheet1!L165</f>
        <v>46219.690763888902</v>
      </c>
      <c r="L165" t="str">
        <f>Sheet1!M165</f>
        <v>Return Handling</v>
      </c>
      <c r="M165" t="str">
        <f>Sheet1!P165</f>
        <v>TOYOTA</v>
      </c>
      <c r="N165" t="str">
        <f>Sheet1!Q165</f>
        <v>2019</v>
      </c>
      <c r="O165">
        <f>Sheet1!AB165</f>
        <v>0</v>
      </c>
      <c r="P165" s="2">
        <f>Sheet1!AD165</f>
        <v>46219</v>
      </c>
      <c r="Q165" t="str">
        <f>Sheet1!AI165</f>
        <v>ARIS YULIANSYAH HILMAN-126175</v>
      </c>
      <c r="R165" t="str">
        <f>Sheet1!AJ165</f>
        <v/>
      </c>
      <c r="S165" t="str">
        <f>Sheet1!AK165</f>
        <v>In Proses</v>
      </c>
      <c r="T165" t="str">
        <f>Sheet1!AL165</f>
        <v>SA</v>
      </c>
      <c r="U165" t="str">
        <f t="shared" si="2"/>
        <v>Done Survey</v>
      </c>
    </row>
    <row r="166" spans="1:21" x14ac:dyDescent="0.25">
      <c r="A166">
        <f>Sheet1!A166</f>
        <v>165</v>
      </c>
      <c r="B166" t="str">
        <f>Sheet1!B166</f>
        <v>BEKASI</v>
      </c>
      <c r="C166" t="str">
        <f>Sheet1!C166</f>
        <v>SUPARDI</v>
      </c>
      <c r="D166" t="str">
        <f>Sheet1!D166</f>
        <v>ODRNO2607130155</v>
      </c>
      <c r="E166" t="str">
        <f>Sheet1!E166</f>
        <v>811PRS20260704738</v>
      </c>
      <c r="F166" t="str">
        <f>Sheet1!F166</f>
        <v>Telemarketing Program</v>
      </c>
      <c r="G166">
        <f>Sheet1!G166</f>
        <v>0</v>
      </c>
      <c r="H166" t="str">
        <f>Sheet1!H166</f>
        <v>811APP20260700097</v>
      </c>
      <c r="I166" t="str">
        <f>Sheet1!I166</f>
        <v>KURNIAWAN ARIBOWO</v>
      </c>
      <c r="J166" s="2">
        <f>Sheet1!K166</f>
        <v>46216.451719988399</v>
      </c>
      <c r="K166" s="2">
        <f>Sheet1!L166</f>
        <v>46220.6573846065</v>
      </c>
      <c r="L166" t="str">
        <f>Sheet1!M166</f>
        <v>Return Handling</v>
      </c>
      <c r="M166" t="str">
        <f>Sheet1!P166</f>
        <v>MITSUBISHI</v>
      </c>
      <c r="N166" t="str">
        <f>Sheet1!Q166</f>
        <v>2019</v>
      </c>
      <c r="O166">
        <f>Sheet1!AB166</f>
        <v>0</v>
      </c>
      <c r="P166" s="2">
        <f>Sheet1!AD166</f>
        <v>46219</v>
      </c>
      <c r="Q166">
        <f>Sheet1!AI166</f>
        <v>0</v>
      </c>
      <c r="R166">
        <f>Sheet1!AJ166</f>
        <v>0</v>
      </c>
      <c r="S166" t="str">
        <f>Sheet1!AK166</f>
        <v>In Proses</v>
      </c>
      <c r="T166" t="str">
        <f>Sheet1!AL166</f>
        <v>Tele</v>
      </c>
      <c r="U166" t="str">
        <f t="shared" si="2"/>
        <v>Done Survey</v>
      </c>
    </row>
    <row r="167" spans="1:21" x14ac:dyDescent="0.25">
      <c r="A167">
        <f>Sheet1!A167</f>
        <v>166</v>
      </c>
      <c r="B167" t="str">
        <f>Sheet1!B167</f>
        <v>BOGOR</v>
      </c>
      <c r="C167" t="str">
        <f>Sheet1!C167</f>
        <v>HARIYADI</v>
      </c>
      <c r="D167" t="str">
        <f>Sheet1!D167</f>
        <v>ODRNO2607130222</v>
      </c>
      <c r="E167" t="str">
        <f>Sheet1!E167</f>
        <v>812PRS20260701346</v>
      </c>
      <c r="F167" t="str">
        <f>Sheet1!F167</f>
        <v>Sales Agent (SA)</v>
      </c>
      <c r="G167">
        <f>Sheet1!G167</f>
        <v>0</v>
      </c>
      <c r="H167">
        <f>Sheet1!H167</f>
        <v>0</v>
      </c>
      <c r="I167" t="str">
        <f>Sheet1!I167</f>
        <v>EKA SUNARYO</v>
      </c>
      <c r="J167" s="2">
        <f>Sheet1!K167</f>
        <v>46216.528922106503</v>
      </c>
      <c r="K167" s="2">
        <f>Sheet1!L167</f>
        <v>46217.704818437502</v>
      </c>
      <c r="L167" t="str">
        <f>Sheet1!M167</f>
        <v>Prospect Cancel</v>
      </c>
      <c r="M167" t="str">
        <f>Sheet1!P167</f>
        <v>HONDA</v>
      </c>
      <c r="N167" t="str">
        <f>Sheet1!Q167</f>
        <v>2017</v>
      </c>
      <c r="O167">
        <f>Sheet1!AB167</f>
        <v>0</v>
      </c>
      <c r="P167" s="2">
        <f>Sheet1!AD167</f>
        <v>0</v>
      </c>
      <c r="Q167" t="str">
        <f>Sheet1!AI167</f>
        <v>RULLY OKTAFIAN-526004</v>
      </c>
      <c r="R167" t="str">
        <f>Sheet1!AJ167</f>
        <v/>
      </c>
      <c r="S167" t="str">
        <f>Sheet1!AK167</f>
        <v>Cancel</v>
      </c>
      <c r="T167" t="str">
        <f>Sheet1!AL167</f>
        <v>SA</v>
      </c>
      <c r="U167">
        <f t="shared" si="2"/>
        <v>0</v>
      </c>
    </row>
    <row r="168" spans="1:21" x14ac:dyDescent="0.25">
      <c r="A168">
        <f>Sheet1!A168</f>
        <v>167</v>
      </c>
      <c r="B168" t="str">
        <f>Sheet1!B168</f>
        <v>BOGOR</v>
      </c>
      <c r="C168" t="str">
        <f>Sheet1!C168</f>
        <v>NAZWA SABRINA</v>
      </c>
      <c r="D168" t="str">
        <f>Sheet1!D168</f>
        <v>ODRNO2607130317</v>
      </c>
      <c r="E168" t="str">
        <f>Sheet1!E168</f>
        <v>812PRS20260701351</v>
      </c>
      <c r="F168" t="str">
        <f>Sheet1!F168</f>
        <v>Sales Agent (SA)</v>
      </c>
      <c r="G168">
        <f>Sheet1!G168</f>
        <v>0</v>
      </c>
      <c r="H168">
        <f>Sheet1!H168</f>
        <v>0</v>
      </c>
      <c r="I168" t="str">
        <f>Sheet1!I168</f>
        <v>SENJAYA BUDIMAN</v>
      </c>
      <c r="J168" s="2">
        <f>Sheet1!K168</f>
        <v>46216.686833993102</v>
      </c>
      <c r="K168" s="2">
        <f>Sheet1!L168</f>
        <v>46225.3333625347</v>
      </c>
      <c r="L168" t="str">
        <f>Sheet1!M168</f>
        <v>Prospect Cancel</v>
      </c>
      <c r="M168" t="str">
        <f>Sheet1!P168</f>
        <v>HONDA</v>
      </c>
      <c r="N168" t="str">
        <f>Sheet1!Q168</f>
        <v>2016</v>
      </c>
      <c r="O168">
        <f>Sheet1!AB168</f>
        <v>0</v>
      </c>
      <c r="P168" s="2">
        <f>Sheet1!AD168</f>
        <v>0</v>
      </c>
      <c r="Q168" t="str">
        <f>Sheet1!AI168</f>
        <v>ADI SUTEJO SE-526006</v>
      </c>
      <c r="R168" t="str">
        <f>Sheet1!AJ168</f>
        <v/>
      </c>
      <c r="S168" t="str">
        <f>Sheet1!AK168</f>
        <v>Cancel</v>
      </c>
      <c r="T168" t="str">
        <f>Sheet1!AL168</f>
        <v>SA</v>
      </c>
      <c r="U168">
        <f t="shared" si="2"/>
        <v>0</v>
      </c>
    </row>
    <row r="169" spans="1:21" x14ac:dyDescent="0.25">
      <c r="A169">
        <f>Sheet1!A169</f>
        <v>168</v>
      </c>
      <c r="B169" t="str">
        <f>Sheet1!B169</f>
        <v>FATMAWATI</v>
      </c>
      <c r="C169" t="str">
        <f>Sheet1!C169</f>
        <v>SAMUDRA SY</v>
      </c>
      <c r="D169" t="str">
        <f>Sheet1!D169</f>
        <v>ODRNO2607130055</v>
      </c>
      <c r="E169" t="str">
        <f>Sheet1!E169</f>
        <v>802PRS20260702246</v>
      </c>
      <c r="F169" t="str">
        <f>Sheet1!F169</f>
        <v>Sales Agent (SA)</v>
      </c>
      <c r="G169">
        <f>Sheet1!G169</f>
        <v>0</v>
      </c>
      <c r="H169">
        <f>Sheet1!H169</f>
        <v>0</v>
      </c>
      <c r="I169" t="str">
        <f>Sheet1!I169</f>
        <v>ZAINUL YASNI</v>
      </c>
      <c r="J169" s="2">
        <f>Sheet1!K169</f>
        <v>46216.402076886603</v>
      </c>
      <c r="K169" s="2">
        <f>Sheet1!L169</f>
        <v>46216.420944907397</v>
      </c>
      <c r="L169" t="str">
        <f>Sheet1!M169</f>
        <v>Prospect Cancel</v>
      </c>
      <c r="M169" t="str">
        <f>Sheet1!P169</f>
        <v>MITSUBISHI</v>
      </c>
      <c r="N169" t="str">
        <f>Sheet1!Q169</f>
        <v>2013</v>
      </c>
      <c r="O169">
        <f>Sheet1!AB169</f>
        <v>0</v>
      </c>
      <c r="P169" s="2">
        <f>Sheet1!AD169</f>
        <v>0</v>
      </c>
      <c r="Q169" t="str">
        <f>Sheet1!AI169</f>
        <v>ZAINUL YASNI-326005</v>
      </c>
      <c r="R169" t="str">
        <f>Sheet1!AJ169</f>
        <v/>
      </c>
      <c r="S169" t="str">
        <f>Sheet1!AK169</f>
        <v>Cancel</v>
      </c>
      <c r="T169" t="str">
        <f>Sheet1!AL169</f>
        <v>SA</v>
      </c>
      <c r="U169">
        <f t="shared" si="2"/>
        <v>0</v>
      </c>
    </row>
    <row r="170" spans="1:21" x14ac:dyDescent="0.25">
      <c r="A170">
        <f>Sheet1!A170</f>
        <v>169</v>
      </c>
      <c r="B170" t="str">
        <f>Sheet1!B170</f>
        <v>FATMAWATI</v>
      </c>
      <c r="C170" t="str">
        <f>Sheet1!C170</f>
        <v>ROSINTA CHANDRA</v>
      </c>
      <c r="D170" t="str">
        <f>Sheet1!D170</f>
        <v>ODRNO2607130211</v>
      </c>
      <c r="E170" t="str">
        <f>Sheet1!E170</f>
        <v>802PRS20260702262</v>
      </c>
      <c r="F170" t="str">
        <f>Sheet1!F170</f>
        <v>Telemarketing Program</v>
      </c>
      <c r="G170" t="str">
        <f>Sheet1!G170</f>
        <v>8021032600002</v>
      </c>
      <c r="H170" t="str">
        <f>Sheet1!H170</f>
        <v>802APP20260700040</v>
      </c>
      <c r="I170" t="str">
        <f>Sheet1!I170</f>
        <v>ZAINUL YASNI</v>
      </c>
      <c r="J170" s="2">
        <f>Sheet1!K170</f>
        <v>46216.513326886597</v>
      </c>
      <c r="K170" s="2">
        <f>Sheet1!L170</f>
        <v>46218.540341400498</v>
      </c>
      <c r="L170" t="str">
        <f>Sheet1!M170</f>
        <v>Go Live</v>
      </c>
      <c r="M170" t="str">
        <f>Sheet1!P170</f>
        <v>MITSUBISHI</v>
      </c>
      <c r="N170" t="str">
        <f>Sheet1!Q170</f>
        <v>2013</v>
      </c>
      <c r="O170">
        <f>Sheet1!AB170</f>
        <v>159611000</v>
      </c>
      <c r="P170" s="2">
        <f>Sheet1!AD170</f>
        <v>46217</v>
      </c>
      <c r="Q170">
        <f>Sheet1!AI170</f>
        <v>0</v>
      </c>
      <c r="R170">
        <f>Sheet1!AJ170</f>
        <v>0</v>
      </c>
      <c r="S170" t="str">
        <f>Sheet1!AK170</f>
        <v>Golive</v>
      </c>
      <c r="T170" t="str">
        <f>Sheet1!AL170</f>
        <v>Tele</v>
      </c>
      <c r="U170" t="str">
        <f t="shared" si="2"/>
        <v>Done Survey</v>
      </c>
    </row>
    <row r="171" spans="1:21" x14ac:dyDescent="0.25">
      <c r="A171">
        <f>Sheet1!A171</f>
        <v>170</v>
      </c>
      <c r="B171" t="str">
        <f>Sheet1!B171</f>
        <v>KEMAYORAN</v>
      </c>
      <c r="C171" t="str">
        <f>Sheet1!C171</f>
        <v>Wuragil Kartika Sari</v>
      </c>
      <c r="D171" t="str">
        <f>Sheet1!D171</f>
        <v>ODRNO2607130194</v>
      </c>
      <c r="E171" t="str">
        <f>Sheet1!E171</f>
        <v>801PRS20260700896</v>
      </c>
      <c r="F171" t="str">
        <f>Sheet1!F171</f>
        <v>Sales Agent (SA)</v>
      </c>
      <c r="G171">
        <f>Sheet1!G171</f>
        <v>0</v>
      </c>
      <c r="H171">
        <f>Sheet1!H171</f>
        <v>0</v>
      </c>
      <c r="I171" t="str">
        <f>Sheet1!I171</f>
        <v>MUHAMMAD RIZQY KEMAL</v>
      </c>
      <c r="J171" s="2">
        <f>Sheet1!K171</f>
        <v>46216.491353819401</v>
      </c>
      <c r="K171" s="2">
        <f>Sheet1!L171</f>
        <v>46224.333344097198</v>
      </c>
      <c r="L171" t="str">
        <f>Sheet1!M171</f>
        <v>Prospect Cancel</v>
      </c>
      <c r="M171" t="str">
        <f>Sheet1!P171</f>
        <v>HONDA</v>
      </c>
      <c r="N171" t="str">
        <f>Sheet1!Q171</f>
        <v>2022</v>
      </c>
      <c r="O171">
        <f>Sheet1!AB171</f>
        <v>0</v>
      </c>
      <c r="P171" s="2">
        <f>Sheet1!AD171</f>
        <v>0</v>
      </c>
      <c r="Q171" t="str">
        <f>Sheet1!AI171</f>
        <v>FAUZI ARDI-0626035</v>
      </c>
      <c r="R171" t="str">
        <f>Sheet1!AJ171</f>
        <v/>
      </c>
      <c r="S171" t="str">
        <f>Sheet1!AK171</f>
        <v>Cancel</v>
      </c>
      <c r="T171" t="str">
        <f>Sheet1!AL171</f>
        <v>SA</v>
      </c>
      <c r="U171">
        <f t="shared" si="2"/>
        <v>0</v>
      </c>
    </row>
    <row r="172" spans="1:21" x14ac:dyDescent="0.25">
      <c r="A172">
        <f>Sheet1!A172</f>
        <v>171</v>
      </c>
      <c r="B172" t="str">
        <f>Sheet1!B172</f>
        <v>LAMPUNG</v>
      </c>
      <c r="C172" t="str">
        <f>Sheet1!C172</f>
        <v>rinaldi indra putra</v>
      </c>
      <c r="D172" t="str">
        <f>Sheet1!D172</f>
        <v>ODRNO2607130266</v>
      </c>
      <c r="E172" t="str">
        <f>Sheet1!E172</f>
        <v>810PRS20260700698</v>
      </c>
      <c r="F172" t="str">
        <f>Sheet1!F172</f>
        <v>Sales Agent (SA)</v>
      </c>
      <c r="G172">
        <f>Sheet1!G172</f>
        <v>0</v>
      </c>
      <c r="H172">
        <f>Sheet1!H172</f>
        <v>0</v>
      </c>
      <c r="I172" t="str">
        <f>Sheet1!I172</f>
        <v>AZWAN</v>
      </c>
      <c r="J172" s="2">
        <f>Sheet1!K172</f>
        <v>46216.6042443634</v>
      </c>
      <c r="K172" s="2">
        <f>Sheet1!L172</f>
        <v>46224.333344097198</v>
      </c>
      <c r="L172" t="str">
        <f>Sheet1!M172</f>
        <v>Prospect Cancel</v>
      </c>
      <c r="M172" t="str">
        <f>Sheet1!P172</f>
        <v>TOYOTA</v>
      </c>
      <c r="N172" t="str">
        <f>Sheet1!Q172</f>
        <v>2021</v>
      </c>
      <c r="O172">
        <f>Sheet1!AB172</f>
        <v>0</v>
      </c>
      <c r="P172" s="2">
        <f>Sheet1!AD172</f>
        <v>0</v>
      </c>
      <c r="Q172" t="str">
        <f>Sheet1!AI172</f>
        <v>CATUR MARDIYANTO-226006</v>
      </c>
      <c r="R172" t="str">
        <f>Sheet1!AJ172</f>
        <v/>
      </c>
      <c r="S172" t="str">
        <f>Sheet1!AK172</f>
        <v>Cancel</v>
      </c>
      <c r="T172" t="str">
        <f>Sheet1!AL172</f>
        <v>SA</v>
      </c>
      <c r="U172">
        <f t="shared" si="2"/>
        <v>0</v>
      </c>
    </row>
    <row r="173" spans="1:21" x14ac:dyDescent="0.25">
      <c r="A173">
        <f>Sheet1!A173</f>
        <v>172</v>
      </c>
      <c r="B173" t="str">
        <f>Sheet1!B173</f>
        <v>MEDAN DUA</v>
      </c>
      <c r="C173" t="str">
        <f>Sheet1!C173</f>
        <v>JATIMAT SARAGIH</v>
      </c>
      <c r="D173" t="str">
        <f>Sheet1!D173</f>
        <v>ODRNO2607130302</v>
      </c>
      <c r="E173" t="str">
        <f>Sheet1!E173</f>
        <v>839PRS20260700924</v>
      </c>
      <c r="F173" t="str">
        <f>Sheet1!F173</f>
        <v>Sales Agent (SA)</v>
      </c>
      <c r="G173">
        <f>Sheet1!G173</f>
        <v>0</v>
      </c>
      <c r="H173">
        <f>Sheet1!H173</f>
        <v>0</v>
      </c>
      <c r="I173" t="str">
        <f>Sheet1!I173</f>
        <v>WASTO SIHOMBING</v>
      </c>
      <c r="J173" s="2">
        <f>Sheet1!K173</f>
        <v>46216.665076585603</v>
      </c>
      <c r="K173" s="2">
        <f>Sheet1!L173</f>
        <v>46217.2918559838</v>
      </c>
      <c r="L173" t="str">
        <f>Sheet1!M173</f>
        <v>Prospect Cancel</v>
      </c>
      <c r="M173" t="str">
        <f>Sheet1!P173</f>
        <v>TOYOTA</v>
      </c>
      <c r="N173" t="str">
        <f>Sheet1!Q173</f>
        <v>2019</v>
      </c>
      <c r="O173">
        <f>Sheet1!AB173</f>
        <v>0</v>
      </c>
      <c r="P173" s="2">
        <f>Sheet1!AD173</f>
        <v>0</v>
      </c>
      <c r="Q173" t="str">
        <f>Sheet1!AI173</f>
        <v>ALEXANDER SIREGAR-126373</v>
      </c>
      <c r="R173" t="str">
        <f>Sheet1!AJ173</f>
        <v/>
      </c>
      <c r="S173" t="str">
        <f>Sheet1!AK173</f>
        <v>Cancel</v>
      </c>
      <c r="T173" t="str">
        <f>Sheet1!AL173</f>
        <v>SA</v>
      </c>
      <c r="U173">
        <f t="shared" si="2"/>
        <v>0</v>
      </c>
    </row>
    <row r="174" spans="1:21" x14ac:dyDescent="0.25">
      <c r="A174">
        <f>Sheet1!A174</f>
        <v>173</v>
      </c>
      <c r="B174" t="str">
        <f>Sheet1!B174</f>
        <v>PEKANBARU</v>
      </c>
      <c r="C174" t="str">
        <f>Sheet1!C174</f>
        <v>SABRINA OCTAVIANI</v>
      </c>
      <c r="D174" t="str">
        <f>Sheet1!D174</f>
        <v>ODRNO2607130260</v>
      </c>
      <c r="E174" t="str">
        <f>Sheet1!E174</f>
        <v>805PRS20260702601</v>
      </c>
      <c r="F174" t="str">
        <f>Sheet1!F174</f>
        <v>Sales Agent (SA)</v>
      </c>
      <c r="G174">
        <f>Sheet1!G174</f>
        <v>0</v>
      </c>
      <c r="H174" t="str">
        <f>Sheet1!H174</f>
        <v>805APP20260700063</v>
      </c>
      <c r="I174" t="str">
        <f>Sheet1!I174</f>
        <v>MUHAMMAD RIDWAN</v>
      </c>
      <c r="J174" s="2">
        <f>Sheet1!K174</f>
        <v>46216.5905178588</v>
      </c>
      <c r="K174" s="2">
        <f>Sheet1!L174</f>
        <v>46224.883537268499</v>
      </c>
      <c r="L174" t="str">
        <f>Sheet1!M174</f>
        <v>Return Handling</v>
      </c>
      <c r="M174" t="str">
        <f>Sheet1!P174</f>
        <v>TOYOTA</v>
      </c>
      <c r="N174" t="str">
        <f>Sheet1!Q174</f>
        <v>2023</v>
      </c>
      <c r="O174">
        <f>Sheet1!AB174</f>
        <v>0</v>
      </c>
      <c r="P174" s="2">
        <f>Sheet1!AD174</f>
        <v>46220</v>
      </c>
      <c r="Q174" t="str">
        <f>Sheet1!AI174</f>
        <v>MHD ZAKI-526009</v>
      </c>
      <c r="R174" t="str">
        <f>Sheet1!AJ174</f>
        <v/>
      </c>
      <c r="S174" t="str">
        <f>Sheet1!AK174</f>
        <v>In Proses</v>
      </c>
      <c r="T174" t="str">
        <f>Sheet1!AL174</f>
        <v>SA</v>
      </c>
      <c r="U174" t="str">
        <f t="shared" si="2"/>
        <v>Done Survey</v>
      </c>
    </row>
    <row r="175" spans="1:21" x14ac:dyDescent="0.25">
      <c r="A175">
        <f>Sheet1!A175</f>
        <v>174</v>
      </c>
      <c r="B175" t="str">
        <f>Sheet1!B175</f>
        <v>SUKABUMI</v>
      </c>
      <c r="C175" t="str">
        <f>Sheet1!C175</f>
        <v>hamzah</v>
      </c>
      <c r="D175" t="str">
        <f>Sheet1!D175</f>
        <v>ODRNO2607130320</v>
      </c>
      <c r="E175" t="str">
        <f>Sheet1!E175</f>
        <v>841PRS20260701207</v>
      </c>
      <c r="F175" t="str">
        <f>Sheet1!F175</f>
        <v>Sales Agent (SA)</v>
      </c>
      <c r="G175">
        <f>Sheet1!G175</f>
        <v>0</v>
      </c>
      <c r="H175">
        <f>Sheet1!H175</f>
        <v>0</v>
      </c>
      <c r="I175" t="str">
        <f>Sheet1!I175</f>
        <v>BAYU SAPUTRA</v>
      </c>
      <c r="J175" s="2">
        <f>Sheet1!K175</f>
        <v>46216.698387465301</v>
      </c>
      <c r="K175" s="2">
        <f>Sheet1!L175</f>
        <v>46217.291861076403</v>
      </c>
      <c r="L175" t="str">
        <f>Sheet1!M175</f>
        <v>Prospect Cancel</v>
      </c>
      <c r="M175" t="str">
        <f>Sheet1!P175</f>
        <v>TOYOTA</v>
      </c>
      <c r="N175" t="str">
        <f>Sheet1!Q175</f>
        <v>2018</v>
      </c>
      <c r="O175">
        <f>Sheet1!AB175</f>
        <v>0</v>
      </c>
      <c r="P175" s="2">
        <f>Sheet1!AD175</f>
        <v>0</v>
      </c>
      <c r="Q175" t="str">
        <f>Sheet1!AI175</f>
        <v>A A GEDE BAGUS PUTRA WIRAWAN-0626024</v>
      </c>
      <c r="R175" t="str">
        <f>Sheet1!AJ175</f>
        <v/>
      </c>
      <c r="S175" t="str">
        <f>Sheet1!AK175</f>
        <v>Cancel</v>
      </c>
      <c r="T175" t="str">
        <f>Sheet1!AL175</f>
        <v>SA</v>
      </c>
      <c r="U175">
        <f t="shared" si="2"/>
        <v>0</v>
      </c>
    </row>
    <row r="176" spans="1:21" x14ac:dyDescent="0.25">
      <c r="A176">
        <f>Sheet1!A176</f>
        <v>175</v>
      </c>
      <c r="B176" t="str">
        <f>Sheet1!B176</f>
        <v>YOGYAKARTA</v>
      </c>
      <c r="C176" t="str">
        <f>Sheet1!C176</f>
        <v>ignatius donny kristiantio aji</v>
      </c>
      <c r="D176" t="str">
        <f>Sheet1!D176</f>
        <v>ODRNO2607130049</v>
      </c>
      <c r="E176" t="str">
        <f>Sheet1!E176</f>
        <v>834PRS20260700801</v>
      </c>
      <c r="F176" t="str">
        <f>Sheet1!F176</f>
        <v>Sales Agent (SA)</v>
      </c>
      <c r="G176">
        <f>Sheet1!G176</f>
        <v>0</v>
      </c>
      <c r="H176">
        <f>Sheet1!H176</f>
        <v>0</v>
      </c>
      <c r="I176" t="str">
        <f>Sheet1!I176</f>
        <v>ALIF APRI HANSYAH</v>
      </c>
      <c r="J176" s="2">
        <f>Sheet1!K176</f>
        <v>46216.400562650502</v>
      </c>
      <c r="K176" s="2">
        <f>Sheet1!L176</f>
        <v>46224.333344097198</v>
      </c>
      <c r="L176" t="str">
        <f>Sheet1!M176</f>
        <v>Prospect Cancel</v>
      </c>
      <c r="M176" t="str">
        <f>Sheet1!P176</f>
        <v>TOYOTA</v>
      </c>
      <c r="N176" t="str">
        <f>Sheet1!Q176</f>
        <v>2023</v>
      </c>
      <c r="O176">
        <f>Sheet1!AB176</f>
        <v>0</v>
      </c>
      <c r="P176" s="2">
        <f>Sheet1!AD176</f>
        <v>0</v>
      </c>
      <c r="Q176" t="str">
        <f>Sheet1!AI176</f>
        <v>SOFYAN BAYU SAIFULLOH-126397</v>
      </c>
      <c r="R176" t="str">
        <f>Sheet1!AJ176</f>
        <v/>
      </c>
      <c r="S176" t="str">
        <f>Sheet1!AK176</f>
        <v>Cancel</v>
      </c>
      <c r="T176" t="str">
        <f>Sheet1!AL176</f>
        <v>SA</v>
      </c>
      <c r="U176">
        <f t="shared" si="2"/>
        <v>0</v>
      </c>
    </row>
    <row r="177" spans="1:21" x14ac:dyDescent="0.25">
      <c r="A177">
        <f>Sheet1!A177</f>
        <v>176</v>
      </c>
      <c r="B177" t="str">
        <f>Sheet1!B177</f>
        <v>BALIKPAPAN</v>
      </c>
      <c r="C177" t="str">
        <f>Sheet1!C177</f>
        <v>CHINTAMI FEBRIANA</v>
      </c>
      <c r="D177" t="str">
        <f>Sheet1!D177</f>
        <v>ODRNO2607140192</v>
      </c>
      <c r="E177" t="str">
        <f>Sheet1!E177</f>
        <v>824PRS20260700699</v>
      </c>
      <c r="F177" t="str">
        <f>Sheet1!F177</f>
        <v>Telemarketing Program</v>
      </c>
      <c r="G177">
        <f>Sheet1!G177</f>
        <v>0</v>
      </c>
      <c r="H177">
        <f>Sheet1!H177</f>
        <v>0</v>
      </c>
      <c r="I177" t="str">
        <f>Sheet1!I177</f>
        <v>JOSUA TARIGAN</v>
      </c>
      <c r="J177" s="2">
        <f>Sheet1!K177</f>
        <v>46217.643131365701</v>
      </c>
      <c r="K177" s="2">
        <f>Sheet1!L177</f>
        <v>46227.333390821797</v>
      </c>
      <c r="L177" t="str">
        <f>Sheet1!M177</f>
        <v>Prospect Cancel</v>
      </c>
      <c r="M177" t="str">
        <f>Sheet1!P177</f>
        <v>HONDA</v>
      </c>
      <c r="N177" t="str">
        <f>Sheet1!Q177</f>
        <v>2012</v>
      </c>
      <c r="O177">
        <f>Sheet1!AB177</f>
        <v>0</v>
      </c>
      <c r="P177" s="2">
        <f>Sheet1!AD177</f>
        <v>0</v>
      </c>
      <c r="Q177">
        <f>Sheet1!AI177</f>
        <v>0</v>
      </c>
      <c r="R177">
        <f>Sheet1!AJ177</f>
        <v>0</v>
      </c>
      <c r="S177" t="str">
        <f>Sheet1!AK177</f>
        <v>Cancel</v>
      </c>
      <c r="T177" t="str">
        <f>Sheet1!AL177</f>
        <v>Tele</v>
      </c>
      <c r="U177">
        <f t="shared" si="2"/>
        <v>0</v>
      </c>
    </row>
    <row r="178" spans="1:21" x14ac:dyDescent="0.25">
      <c r="A178">
        <f>Sheet1!A178</f>
        <v>177</v>
      </c>
      <c r="B178" t="str">
        <f>Sheet1!B178</f>
        <v>BALIKPAPAN</v>
      </c>
      <c r="C178" t="str">
        <f>Sheet1!C178</f>
        <v>CHINTAMI FEBRIANA</v>
      </c>
      <c r="D178" t="str">
        <f>Sheet1!D178</f>
        <v>ODRNO2607140239</v>
      </c>
      <c r="E178" t="str">
        <f>Sheet1!E178</f>
        <v>824PRS20260700701</v>
      </c>
      <c r="F178" t="str">
        <f>Sheet1!F178</f>
        <v>Telemarketing Program</v>
      </c>
      <c r="G178">
        <f>Sheet1!G178</f>
        <v>0</v>
      </c>
      <c r="H178" t="str">
        <f>Sheet1!H178</f>
        <v>824APP20260700013</v>
      </c>
      <c r="I178" t="str">
        <f>Sheet1!I178</f>
        <v>JOSUA TARIGAN</v>
      </c>
      <c r="J178" s="2">
        <f>Sheet1!K178</f>
        <v>46217.787164467598</v>
      </c>
      <c r="K178" s="2">
        <f>Sheet1!L178</f>
        <v>46220.582051273203</v>
      </c>
      <c r="L178" t="str">
        <f>Sheet1!M178</f>
        <v>Return Handling</v>
      </c>
      <c r="M178" t="str">
        <f>Sheet1!P178</f>
        <v>HONDA</v>
      </c>
      <c r="N178" t="str">
        <f>Sheet1!Q178</f>
        <v>2012</v>
      </c>
      <c r="O178">
        <f>Sheet1!AB178</f>
        <v>0</v>
      </c>
      <c r="P178" s="2">
        <f>Sheet1!AD178</f>
        <v>46219</v>
      </c>
      <c r="Q178">
        <f>Sheet1!AI178</f>
        <v>0</v>
      </c>
      <c r="R178">
        <f>Sheet1!AJ178</f>
        <v>0</v>
      </c>
      <c r="S178" t="str">
        <f>Sheet1!AK178</f>
        <v>In Proses</v>
      </c>
      <c r="T178" t="str">
        <f>Sheet1!AL178</f>
        <v>Tele</v>
      </c>
      <c r="U178" t="str">
        <f t="shared" si="2"/>
        <v>Done Survey</v>
      </c>
    </row>
    <row r="179" spans="1:21" x14ac:dyDescent="0.25">
      <c r="A179">
        <f>Sheet1!A179</f>
        <v>178</v>
      </c>
      <c r="B179" t="str">
        <f>Sheet1!B179</f>
        <v>BANDUNG</v>
      </c>
      <c r="C179" t="str">
        <f>Sheet1!C179</f>
        <v>Iqbal Surya Dwipangga</v>
      </c>
      <c r="D179" t="str">
        <f>Sheet1!D179</f>
        <v>ODRNO2607140058</v>
      </c>
      <c r="E179" t="str">
        <f>Sheet1!E179</f>
        <v>813PRS20260705360</v>
      </c>
      <c r="F179" t="str">
        <f>Sheet1!F179</f>
        <v>LandingPage</v>
      </c>
      <c r="G179">
        <f>Sheet1!G179</f>
        <v>0</v>
      </c>
      <c r="H179">
        <f>Sheet1!H179</f>
        <v>0</v>
      </c>
      <c r="I179" t="str">
        <f>Sheet1!I179</f>
        <v>RISKI DALNI</v>
      </c>
      <c r="J179" s="2">
        <f>Sheet1!K179</f>
        <v>46217.387110613403</v>
      </c>
      <c r="K179" s="2">
        <f>Sheet1!L179</f>
        <v>46226.333341122699</v>
      </c>
      <c r="L179" t="str">
        <f>Sheet1!M179</f>
        <v>Prospect Cancel</v>
      </c>
      <c r="M179" t="str">
        <f>Sheet1!P179</f>
        <v>FORD</v>
      </c>
      <c r="N179" t="str">
        <f>Sheet1!Q179</f>
        <v>2015</v>
      </c>
      <c r="O179">
        <f>Sheet1!AB179</f>
        <v>0</v>
      </c>
      <c r="P179" s="2">
        <f>Sheet1!AD179</f>
        <v>0</v>
      </c>
      <c r="Q179">
        <f>Sheet1!AI179</f>
        <v>0</v>
      </c>
      <c r="R179">
        <f>Sheet1!AJ179</f>
        <v>0</v>
      </c>
      <c r="S179" t="str">
        <f>Sheet1!AK179</f>
        <v>Cancel</v>
      </c>
      <c r="T179" t="str">
        <f>Sheet1!AL179</f>
        <v>SA</v>
      </c>
      <c r="U179">
        <f t="shared" si="2"/>
        <v>0</v>
      </c>
    </row>
    <row r="180" spans="1:21" x14ac:dyDescent="0.25">
      <c r="A180">
        <f>Sheet1!A180</f>
        <v>179</v>
      </c>
      <c r="B180" t="str">
        <f>Sheet1!B180</f>
        <v>BANDUNG</v>
      </c>
      <c r="C180" t="str">
        <f>Sheet1!C180</f>
        <v>Drs Yudi Suryadi</v>
      </c>
      <c r="D180" t="str">
        <f>Sheet1!D180</f>
        <v>ODRNO2607140060</v>
      </c>
      <c r="E180" t="str">
        <f>Sheet1!E180</f>
        <v>813PRS20260705361</v>
      </c>
      <c r="F180" t="str">
        <f>Sheet1!F180</f>
        <v>LandingPage</v>
      </c>
      <c r="G180">
        <f>Sheet1!G180</f>
        <v>0</v>
      </c>
      <c r="H180">
        <f>Sheet1!H180</f>
        <v>0</v>
      </c>
      <c r="I180" t="str">
        <f>Sheet1!I180</f>
        <v>RISKI DALNI</v>
      </c>
      <c r="J180" s="2">
        <f>Sheet1!K180</f>
        <v>46217.389990937503</v>
      </c>
      <c r="K180" s="2">
        <f>Sheet1!L180</f>
        <v>46226.333341122699</v>
      </c>
      <c r="L180" t="str">
        <f>Sheet1!M180</f>
        <v>Prospect Cancel</v>
      </c>
      <c r="M180" t="str">
        <f>Sheet1!P180</f>
        <v>FORD</v>
      </c>
      <c r="N180" t="str">
        <f>Sheet1!Q180</f>
        <v>2015</v>
      </c>
      <c r="O180">
        <f>Sheet1!AB180</f>
        <v>0</v>
      </c>
      <c r="P180" s="2">
        <f>Sheet1!AD180</f>
        <v>0</v>
      </c>
      <c r="Q180">
        <f>Sheet1!AI180</f>
        <v>0</v>
      </c>
      <c r="R180">
        <f>Sheet1!AJ180</f>
        <v>0</v>
      </c>
      <c r="S180" t="str">
        <f>Sheet1!AK180</f>
        <v>Cancel</v>
      </c>
      <c r="T180" t="str">
        <f>Sheet1!AL180</f>
        <v>SA</v>
      </c>
      <c r="U180">
        <f t="shared" si="2"/>
        <v>0</v>
      </c>
    </row>
    <row r="181" spans="1:21" x14ac:dyDescent="0.25">
      <c r="A181">
        <f>Sheet1!A181</f>
        <v>180</v>
      </c>
      <c r="B181" t="str">
        <f>Sheet1!B181</f>
        <v>BANDUNG</v>
      </c>
      <c r="C181" t="str">
        <f>Sheet1!C181</f>
        <v>DINI NURUL FUADIAH</v>
      </c>
      <c r="D181" t="str">
        <f>Sheet1!D181</f>
        <v>ODRNO2607140082</v>
      </c>
      <c r="E181" t="str">
        <f>Sheet1!E181</f>
        <v>813PRS20260705362</v>
      </c>
      <c r="F181" t="str">
        <f>Sheet1!F181</f>
        <v>Sales Agent (SA)</v>
      </c>
      <c r="G181">
        <f>Sheet1!G181</f>
        <v>0</v>
      </c>
      <c r="H181">
        <f>Sheet1!H181</f>
        <v>0</v>
      </c>
      <c r="I181" t="str">
        <f>Sheet1!I181</f>
        <v>RAMDHAN FIRMANSYAH</v>
      </c>
      <c r="J181" s="2">
        <f>Sheet1!K181</f>
        <v>46217.416912152803</v>
      </c>
      <c r="K181" s="2">
        <f>Sheet1!L181</f>
        <v>46227.333390821797</v>
      </c>
      <c r="L181" t="str">
        <f>Sheet1!M181</f>
        <v>Prospect Cancel</v>
      </c>
      <c r="M181" t="str">
        <f>Sheet1!P181</f>
        <v>TOYOTA</v>
      </c>
      <c r="N181" t="str">
        <f>Sheet1!Q181</f>
        <v>2023</v>
      </c>
      <c r="O181">
        <f>Sheet1!AB181</f>
        <v>0</v>
      </c>
      <c r="P181" s="2">
        <f>Sheet1!AD181</f>
        <v>0</v>
      </c>
      <c r="Q181" t="str">
        <f>Sheet1!AI181</f>
        <v>NDARU PURNOMO-126280</v>
      </c>
      <c r="R181" t="str">
        <f>Sheet1!AJ181</f>
        <v/>
      </c>
      <c r="S181" t="str">
        <f>Sheet1!AK181</f>
        <v>Cancel</v>
      </c>
      <c r="T181" t="str">
        <f>Sheet1!AL181</f>
        <v>SA</v>
      </c>
      <c r="U181">
        <f t="shared" si="2"/>
        <v>0</v>
      </c>
    </row>
    <row r="182" spans="1:21" x14ac:dyDescent="0.25">
      <c r="A182">
        <f>Sheet1!A182</f>
        <v>181</v>
      </c>
      <c r="B182" t="str">
        <f>Sheet1!B182</f>
        <v>BANDUNG</v>
      </c>
      <c r="C182" t="str">
        <f>Sheet1!C182</f>
        <v>TAUFIK RAHMAN S ST</v>
      </c>
      <c r="D182" t="str">
        <f>Sheet1!D182</f>
        <v>ODRNO2607140151</v>
      </c>
      <c r="E182" t="str">
        <f>Sheet1!E182</f>
        <v>813PRS20260705365</v>
      </c>
      <c r="F182" t="str">
        <f>Sheet1!F182</f>
        <v>Sales Agent (SA)</v>
      </c>
      <c r="G182">
        <f>Sheet1!G182</f>
        <v>0</v>
      </c>
      <c r="H182">
        <f>Sheet1!H182</f>
        <v>0</v>
      </c>
      <c r="I182" t="str">
        <f>Sheet1!I182</f>
        <v>RAMDHAN FIRMANSYAH</v>
      </c>
      <c r="J182" s="2">
        <f>Sheet1!K182</f>
        <v>46217.547100347198</v>
      </c>
      <c r="K182" s="2">
        <f>Sheet1!L182</f>
        <v>46218.292891782403</v>
      </c>
      <c r="L182" t="str">
        <f>Sheet1!M182</f>
        <v>Prospect Cancel</v>
      </c>
      <c r="M182" t="str">
        <f>Sheet1!P182</f>
        <v>BYD</v>
      </c>
      <c r="N182" t="str">
        <f>Sheet1!Q182</f>
        <v>2025</v>
      </c>
      <c r="O182">
        <f>Sheet1!AB182</f>
        <v>0</v>
      </c>
      <c r="P182" s="2">
        <f>Sheet1!AD182</f>
        <v>0</v>
      </c>
      <c r="Q182" t="str">
        <f>Sheet1!AI182</f>
        <v>HASAN SUJANA-526023</v>
      </c>
      <c r="R182" t="str">
        <f>Sheet1!AJ182</f>
        <v/>
      </c>
      <c r="S182" t="str">
        <f>Sheet1!AK182</f>
        <v>Cancel</v>
      </c>
      <c r="T182" t="str">
        <f>Sheet1!AL182</f>
        <v>SA</v>
      </c>
      <c r="U182">
        <f t="shared" si="2"/>
        <v>0</v>
      </c>
    </row>
    <row r="183" spans="1:21" x14ac:dyDescent="0.25">
      <c r="A183">
        <f>Sheet1!A183</f>
        <v>182</v>
      </c>
      <c r="B183" t="str">
        <f>Sheet1!B183</f>
        <v>BEKASI</v>
      </c>
      <c r="C183" t="str">
        <f>Sheet1!C183</f>
        <v>AGNES MELISSE GILBERTHA SERAN</v>
      </c>
      <c r="D183" t="str">
        <f>Sheet1!D183</f>
        <v>ODRNO2607140063</v>
      </c>
      <c r="E183" t="str">
        <f>Sheet1!E183</f>
        <v>811PRS20260704774</v>
      </c>
      <c r="F183" t="str">
        <f>Sheet1!F183</f>
        <v>Sales Agent (SA)</v>
      </c>
      <c r="G183">
        <f>Sheet1!G183</f>
        <v>0</v>
      </c>
      <c r="H183">
        <f>Sheet1!H183</f>
        <v>0</v>
      </c>
      <c r="I183" t="str">
        <f>Sheet1!I183</f>
        <v>KURNIAWAN ARIBOWO</v>
      </c>
      <c r="J183" s="2">
        <f>Sheet1!K183</f>
        <v>46217.399161076399</v>
      </c>
      <c r="K183" s="2">
        <f>Sheet1!L183</f>
        <v>46226.333341122699</v>
      </c>
      <c r="L183" t="str">
        <f>Sheet1!M183</f>
        <v>Prospect Cancel</v>
      </c>
      <c r="M183" t="str">
        <f>Sheet1!P183</f>
        <v>HONDA</v>
      </c>
      <c r="N183" t="str">
        <f>Sheet1!Q183</f>
        <v>2022</v>
      </c>
      <c r="O183">
        <f>Sheet1!AB183</f>
        <v>0</v>
      </c>
      <c r="P183" s="2">
        <f>Sheet1!AD183</f>
        <v>0</v>
      </c>
      <c r="Q183" t="str">
        <f>Sheet1!AI183</f>
        <v>MUHAMAD ILYAS-526007</v>
      </c>
      <c r="R183" t="str">
        <f>Sheet1!AJ183</f>
        <v/>
      </c>
      <c r="S183" t="str">
        <f>Sheet1!AK183</f>
        <v>Cancel</v>
      </c>
      <c r="T183" t="str">
        <f>Sheet1!AL183</f>
        <v>SA</v>
      </c>
      <c r="U183">
        <f t="shared" si="2"/>
        <v>0</v>
      </c>
    </row>
    <row r="184" spans="1:21" x14ac:dyDescent="0.25">
      <c r="A184">
        <f>Sheet1!A184</f>
        <v>183</v>
      </c>
      <c r="B184" t="str">
        <f>Sheet1!B184</f>
        <v>BEKASI</v>
      </c>
      <c r="C184" t="str">
        <f>Sheet1!C184</f>
        <v>WASMUN</v>
      </c>
      <c r="D184" t="str">
        <f>Sheet1!D184</f>
        <v>ODRNO2607140087</v>
      </c>
      <c r="E184" t="str">
        <f>Sheet1!E184</f>
        <v>811PRS20260704776</v>
      </c>
      <c r="F184" t="str">
        <f>Sheet1!F184</f>
        <v>LandingPage</v>
      </c>
      <c r="G184">
        <f>Sheet1!G184</f>
        <v>0</v>
      </c>
      <c r="H184">
        <f>Sheet1!H184</f>
        <v>0</v>
      </c>
      <c r="I184" t="str">
        <f>Sheet1!I184</f>
        <v>KURNIAWAN ARIBOWO</v>
      </c>
      <c r="J184" s="2">
        <f>Sheet1!K184</f>
        <v>46217.429615127301</v>
      </c>
      <c r="K184" s="2">
        <f>Sheet1!L184</f>
        <v>46226.333341122699</v>
      </c>
      <c r="L184" t="str">
        <f>Sheet1!M184</f>
        <v>Prospect Cancel</v>
      </c>
      <c r="M184" t="str">
        <f>Sheet1!P184</f>
        <v>SUZUKI</v>
      </c>
      <c r="N184" t="str">
        <f>Sheet1!Q184</f>
        <v>2016</v>
      </c>
      <c r="O184">
        <f>Sheet1!AB184</f>
        <v>0</v>
      </c>
      <c r="P184" s="2">
        <f>Sheet1!AD184</f>
        <v>0</v>
      </c>
      <c r="Q184">
        <f>Sheet1!AI184</f>
        <v>0</v>
      </c>
      <c r="R184">
        <f>Sheet1!AJ184</f>
        <v>0</v>
      </c>
      <c r="S184" t="str">
        <f>Sheet1!AK184</f>
        <v>Cancel</v>
      </c>
      <c r="T184" t="str">
        <f>Sheet1!AL184</f>
        <v>SA</v>
      </c>
      <c r="U184">
        <f t="shared" si="2"/>
        <v>0</v>
      </c>
    </row>
    <row r="185" spans="1:21" x14ac:dyDescent="0.25">
      <c r="A185">
        <f>Sheet1!A185</f>
        <v>184</v>
      </c>
      <c r="B185" t="str">
        <f>Sheet1!B185</f>
        <v>BEKASI</v>
      </c>
      <c r="C185" t="str">
        <f>Sheet1!C185</f>
        <v>ANDY AHMAD MAKRUP</v>
      </c>
      <c r="D185" t="str">
        <f>Sheet1!D185</f>
        <v>ODRNO2607140096</v>
      </c>
      <c r="E185" t="str">
        <f>Sheet1!E185</f>
        <v>811PRS20260704777</v>
      </c>
      <c r="F185" t="str">
        <f>Sheet1!F185</f>
        <v>LandingPage</v>
      </c>
      <c r="G185">
        <f>Sheet1!G185</f>
        <v>0</v>
      </c>
      <c r="H185">
        <f>Sheet1!H185</f>
        <v>0</v>
      </c>
      <c r="I185" t="str">
        <f>Sheet1!I185</f>
        <v>KURNIAWAN ARIBOWO</v>
      </c>
      <c r="J185" s="2">
        <f>Sheet1!K185</f>
        <v>46217.447336655103</v>
      </c>
      <c r="K185" s="2">
        <f>Sheet1!L185</f>
        <v>46226.333341122699</v>
      </c>
      <c r="L185" t="str">
        <f>Sheet1!M185</f>
        <v>Prospect Cancel</v>
      </c>
      <c r="M185" t="str">
        <f>Sheet1!P185</f>
        <v>MITSUBISHI</v>
      </c>
      <c r="N185" t="str">
        <f>Sheet1!Q185</f>
        <v>2013</v>
      </c>
      <c r="O185">
        <f>Sheet1!AB185</f>
        <v>0</v>
      </c>
      <c r="P185" s="2">
        <f>Sheet1!AD185</f>
        <v>0</v>
      </c>
      <c r="Q185">
        <f>Sheet1!AI185</f>
        <v>0</v>
      </c>
      <c r="R185">
        <f>Sheet1!AJ185</f>
        <v>0</v>
      </c>
      <c r="S185" t="str">
        <f>Sheet1!AK185</f>
        <v>Cancel</v>
      </c>
      <c r="T185" t="str">
        <f>Sheet1!AL185</f>
        <v>SA</v>
      </c>
      <c r="U185">
        <f t="shared" si="2"/>
        <v>0</v>
      </c>
    </row>
    <row r="186" spans="1:21" x14ac:dyDescent="0.25">
      <c r="A186">
        <f>Sheet1!A186</f>
        <v>185</v>
      </c>
      <c r="B186" t="str">
        <f>Sheet1!B186</f>
        <v>BOGOR</v>
      </c>
      <c r="C186" t="str">
        <f>Sheet1!C186</f>
        <v>ANDY AHMAD MAKRUP</v>
      </c>
      <c r="D186" t="str">
        <f>Sheet1!D186</f>
        <v>ODRNO2607140111</v>
      </c>
      <c r="E186" t="str">
        <f>Sheet1!E186</f>
        <v>812PRS20260701355</v>
      </c>
      <c r="F186" t="str">
        <f>Sheet1!F186</f>
        <v>LandingPage</v>
      </c>
      <c r="G186">
        <f>Sheet1!G186</f>
        <v>0</v>
      </c>
      <c r="H186" t="str">
        <f>Sheet1!H186</f>
        <v>812APP20260700019</v>
      </c>
      <c r="I186" t="str">
        <f>Sheet1!I186</f>
        <v>EKA SUNARYO</v>
      </c>
      <c r="J186" s="2">
        <f>Sheet1!K186</f>
        <v>46217.486792210701</v>
      </c>
      <c r="K186" s="2">
        <f>Sheet1!L186</f>
        <v>46218.304373842599</v>
      </c>
      <c r="L186" t="str">
        <f>Sheet1!M186</f>
        <v>Assignment Survey 1</v>
      </c>
      <c r="M186" t="str">
        <f>Sheet1!P186</f>
        <v>MITSUBISHI</v>
      </c>
      <c r="N186" t="str">
        <f>Sheet1!Q186</f>
        <v>2013</v>
      </c>
      <c r="O186">
        <f>Sheet1!AB186</f>
        <v>0</v>
      </c>
      <c r="P186" s="2">
        <f>Sheet1!AD186</f>
        <v>46219</v>
      </c>
      <c r="Q186">
        <f>Sheet1!AI186</f>
        <v>0</v>
      </c>
      <c r="R186">
        <f>Sheet1!AJ186</f>
        <v>0</v>
      </c>
      <c r="S186" t="str">
        <f>Sheet1!AK186</f>
        <v>In Proses</v>
      </c>
      <c r="T186" t="str">
        <f>Sheet1!AL186</f>
        <v>SA</v>
      </c>
      <c r="U186" t="str">
        <f t="shared" si="2"/>
        <v>Done Survey</v>
      </c>
    </row>
    <row r="187" spans="1:21" x14ac:dyDescent="0.25">
      <c r="A187">
        <f>Sheet1!A187</f>
        <v>186</v>
      </c>
      <c r="B187" t="str">
        <f>Sheet1!B187</f>
        <v>BOGOR</v>
      </c>
      <c r="C187" t="str">
        <f>Sheet1!C187</f>
        <v>INDRA SUBAGYA</v>
      </c>
      <c r="D187" t="str">
        <f>Sheet1!D187</f>
        <v>ODRNO2607140172</v>
      </c>
      <c r="E187" t="str">
        <f>Sheet1!E187</f>
        <v>812PRS20260701356</v>
      </c>
      <c r="F187" t="str">
        <f>Sheet1!F187</f>
        <v>Sales Agent (SA)</v>
      </c>
      <c r="G187">
        <f>Sheet1!G187</f>
        <v>0</v>
      </c>
      <c r="H187">
        <f>Sheet1!H187</f>
        <v>0</v>
      </c>
      <c r="I187" t="str">
        <f>Sheet1!I187</f>
        <v>SENJAYA BUDIMAN</v>
      </c>
      <c r="J187" s="2">
        <f>Sheet1!K187</f>
        <v>46217.595125081003</v>
      </c>
      <c r="K187" s="2">
        <f>Sheet1!L187</f>
        <v>46226.333341122699</v>
      </c>
      <c r="L187" t="str">
        <f>Sheet1!M187</f>
        <v>Prospect Cancel</v>
      </c>
      <c r="M187" t="str">
        <f>Sheet1!P187</f>
        <v>TOYOTA</v>
      </c>
      <c r="N187" t="str">
        <f>Sheet1!Q187</f>
        <v>2018</v>
      </c>
      <c r="O187">
        <f>Sheet1!AB187</f>
        <v>0</v>
      </c>
      <c r="P187" s="2">
        <f>Sheet1!AD187</f>
        <v>0</v>
      </c>
      <c r="Q187" t="str">
        <f>Sheet1!AI187</f>
        <v>YULIA MARHAENIS-0626008</v>
      </c>
      <c r="R187" t="str">
        <f>Sheet1!AJ187</f>
        <v/>
      </c>
      <c r="S187" t="str">
        <f>Sheet1!AK187</f>
        <v>Cancel</v>
      </c>
      <c r="T187" t="str">
        <f>Sheet1!AL187</f>
        <v>SA</v>
      </c>
      <c r="U187">
        <f t="shared" si="2"/>
        <v>0</v>
      </c>
    </row>
    <row r="188" spans="1:21" x14ac:dyDescent="0.25">
      <c r="A188">
        <f>Sheet1!A188</f>
        <v>187</v>
      </c>
      <c r="B188" t="str">
        <f>Sheet1!B188</f>
        <v>BOGOR</v>
      </c>
      <c r="C188" t="str">
        <f>Sheet1!C188</f>
        <v>TUBAGUS ARYO PUTRO</v>
      </c>
      <c r="D188" t="str">
        <f>Sheet1!D188</f>
        <v>ODRNO2607140198</v>
      </c>
      <c r="E188" t="str">
        <f>Sheet1!E188</f>
        <v>812PRS20260701358</v>
      </c>
      <c r="F188" t="str">
        <f>Sheet1!F188</f>
        <v>Sales Agent (SA)</v>
      </c>
      <c r="G188">
        <f>Sheet1!G188</f>
        <v>0</v>
      </c>
      <c r="H188">
        <f>Sheet1!H188</f>
        <v>0</v>
      </c>
      <c r="I188" t="str">
        <f>Sheet1!I188</f>
        <v>EKA SUNARYO</v>
      </c>
      <c r="J188" s="2">
        <f>Sheet1!K188</f>
        <v>46217.663640081002</v>
      </c>
      <c r="K188" s="2">
        <f>Sheet1!L188</f>
        <v>46226.333341122699</v>
      </c>
      <c r="L188" t="str">
        <f>Sheet1!M188</f>
        <v>Prospect Cancel</v>
      </c>
      <c r="M188" t="str">
        <f>Sheet1!P188</f>
        <v>BMW</v>
      </c>
      <c r="N188" t="str">
        <f>Sheet1!Q188</f>
        <v>2013</v>
      </c>
      <c r="O188">
        <f>Sheet1!AB188</f>
        <v>0</v>
      </c>
      <c r="P188" s="2">
        <f>Sheet1!AD188</f>
        <v>0</v>
      </c>
      <c r="Q188" t="str">
        <f>Sheet1!AI188</f>
        <v>RIYANTO-226167</v>
      </c>
      <c r="R188" t="str">
        <f>Sheet1!AJ188</f>
        <v/>
      </c>
      <c r="S188" t="str">
        <f>Sheet1!AK188</f>
        <v>Cancel</v>
      </c>
      <c r="T188" t="str">
        <f>Sheet1!AL188</f>
        <v>SA</v>
      </c>
      <c r="U188">
        <f t="shared" si="2"/>
        <v>0</v>
      </c>
    </row>
    <row r="189" spans="1:21" x14ac:dyDescent="0.25">
      <c r="A189">
        <f>Sheet1!A189</f>
        <v>188</v>
      </c>
      <c r="B189" t="str">
        <f>Sheet1!B189</f>
        <v>KEMAYORAN</v>
      </c>
      <c r="C189" t="str">
        <f>Sheet1!C189</f>
        <v>Sunardi</v>
      </c>
      <c r="D189" t="str">
        <f>Sheet1!D189</f>
        <v>ODRNO2607140182</v>
      </c>
      <c r="E189" t="str">
        <f>Sheet1!E189</f>
        <v>801PRS20260700903</v>
      </c>
      <c r="F189" t="str">
        <f>Sheet1!F189</f>
        <v>Sales Agent (SA)</v>
      </c>
      <c r="G189">
        <f>Sheet1!G189</f>
        <v>0</v>
      </c>
      <c r="H189">
        <f>Sheet1!H189</f>
        <v>0</v>
      </c>
      <c r="I189" t="str">
        <f>Sheet1!I189</f>
        <v>MUHAMMAD RIZQY KEMAL</v>
      </c>
      <c r="J189" s="2">
        <f>Sheet1!K189</f>
        <v>46217.616721446801</v>
      </c>
      <c r="K189" s="2">
        <f>Sheet1!L189</f>
        <v>46218.420221377302</v>
      </c>
      <c r="L189" t="str">
        <f>Sheet1!M189</f>
        <v>Prospect Cancel</v>
      </c>
      <c r="M189" t="str">
        <f>Sheet1!P189</f>
        <v>DAIHATSU</v>
      </c>
      <c r="N189" t="str">
        <f>Sheet1!Q189</f>
        <v>2023</v>
      </c>
      <c r="O189">
        <f>Sheet1!AB189</f>
        <v>0</v>
      </c>
      <c r="P189" s="2">
        <f>Sheet1!AD189</f>
        <v>0</v>
      </c>
      <c r="Q189" t="str">
        <f>Sheet1!AI189</f>
        <v>MUHAMMAD ASLAMI DHUHA FALEYRI-0626003</v>
      </c>
      <c r="R189" t="str">
        <f>Sheet1!AJ189</f>
        <v/>
      </c>
      <c r="S189" t="str">
        <f>Sheet1!AK189</f>
        <v>Cancel</v>
      </c>
      <c r="T189" t="str">
        <f>Sheet1!AL189</f>
        <v>SA</v>
      </c>
      <c r="U189">
        <f t="shared" si="2"/>
        <v>0</v>
      </c>
    </row>
    <row r="190" spans="1:21" x14ac:dyDescent="0.25">
      <c r="A190">
        <f>Sheet1!A190</f>
        <v>189</v>
      </c>
      <c r="B190" t="str">
        <f>Sheet1!B190</f>
        <v>KEMAYORAN</v>
      </c>
      <c r="C190" t="str">
        <f>Sheet1!C190</f>
        <v>Jemmy Pondag</v>
      </c>
      <c r="D190" t="str">
        <f>Sheet1!D190</f>
        <v>ODRNO2607140191</v>
      </c>
      <c r="E190" t="str">
        <f>Sheet1!E190</f>
        <v>801PRS20260700904</v>
      </c>
      <c r="F190" t="str">
        <f>Sheet1!F190</f>
        <v>LandingPage</v>
      </c>
      <c r="G190">
        <f>Sheet1!G190</f>
        <v>0</v>
      </c>
      <c r="H190">
        <f>Sheet1!H190</f>
        <v>0</v>
      </c>
      <c r="I190" t="str">
        <f>Sheet1!I190</f>
        <v>MUHAMMAD RIZQY KEMAL</v>
      </c>
      <c r="J190" s="2">
        <f>Sheet1!K190</f>
        <v>46217.641871608801</v>
      </c>
      <c r="K190" s="2">
        <f>Sheet1!L190</f>
        <v>46226.333341122699</v>
      </c>
      <c r="L190" t="str">
        <f>Sheet1!M190</f>
        <v>Prospect Cancel</v>
      </c>
      <c r="M190" t="str">
        <f>Sheet1!P190</f>
        <v>TOYOTA</v>
      </c>
      <c r="N190" t="str">
        <f>Sheet1!Q190</f>
        <v>2022</v>
      </c>
      <c r="O190">
        <f>Sheet1!AB190</f>
        <v>0</v>
      </c>
      <c r="P190" s="2">
        <f>Sheet1!AD190</f>
        <v>0</v>
      </c>
      <c r="Q190">
        <f>Sheet1!AI190</f>
        <v>0</v>
      </c>
      <c r="R190">
        <f>Sheet1!AJ190</f>
        <v>0</v>
      </c>
      <c r="S190" t="str">
        <f>Sheet1!AK190</f>
        <v>Cancel</v>
      </c>
      <c r="T190" t="str">
        <f>Sheet1!AL190</f>
        <v>SA</v>
      </c>
      <c r="U190">
        <f t="shared" si="2"/>
        <v>0</v>
      </c>
    </row>
    <row r="191" spans="1:21" x14ac:dyDescent="0.25">
      <c r="A191">
        <f>Sheet1!A191</f>
        <v>190</v>
      </c>
      <c r="B191" t="str">
        <f>Sheet1!B191</f>
        <v>LAMPUNG</v>
      </c>
      <c r="C191" t="str">
        <f>Sheet1!C191</f>
        <v>dini selviani</v>
      </c>
      <c r="D191" t="str">
        <f>Sheet1!D191</f>
        <v>ODRNO2607140169</v>
      </c>
      <c r="E191" t="str">
        <f>Sheet1!E191</f>
        <v>810PRS20260700706</v>
      </c>
      <c r="F191" t="str">
        <f>Sheet1!F191</f>
        <v>Sales Agent (SA)</v>
      </c>
      <c r="G191">
        <f>Sheet1!G191</f>
        <v>0</v>
      </c>
      <c r="H191">
        <f>Sheet1!H191</f>
        <v>0</v>
      </c>
      <c r="I191" t="str">
        <f>Sheet1!I191</f>
        <v>AZWAN</v>
      </c>
      <c r="J191" s="2">
        <f>Sheet1!K191</f>
        <v>46217.585422106502</v>
      </c>
      <c r="K191" s="2">
        <f>Sheet1!L191</f>
        <v>46226.333341122699</v>
      </c>
      <c r="L191" t="str">
        <f>Sheet1!M191</f>
        <v>Prospect Cancel</v>
      </c>
      <c r="M191" t="str">
        <f>Sheet1!P191</f>
        <v>HONDA</v>
      </c>
      <c r="N191" t="str">
        <f>Sheet1!Q191</f>
        <v>2019</v>
      </c>
      <c r="O191">
        <f>Sheet1!AB191</f>
        <v>0</v>
      </c>
      <c r="P191" s="2">
        <f>Sheet1!AD191</f>
        <v>0</v>
      </c>
      <c r="Q191" t="str">
        <f>Sheet1!AI191</f>
        <v>DIDIK ISDARTA-326011</v>
      </c>
      <c r="R191" t="str">
        <f>Sheet1!AJ191</f>
        <v/>
      </c>
      <c r="S191" t="str">
        <f>Sheet1!AK191</f>
        <v>Cancel</v>
      </c>
      <c r="T191" t="str">
        <f>Sheet1!AL191</f>
        <v>SA</v>
      </c>
      <c r="U191">
        <f t="shared" si="2"/>
        <v>0</v>
      </c>
    </row>
    <row r="192" spans="1:21" x14ac:dyDescent="0.25">
      <c r="A192">
        <f>Sheet1!A192</f>
        <v>191</v>
      </c>
      <c r="B192" t="str">
        <f>Sheet1!B192</f>
        <v>MANADO</v>
      </c>
      <c r="C192" t="str">
        <f>Sheet1!C192</f>
        <v xml:space="preserve">BOB MATUTINA </v>
      </c>
      <c r="D192" t="str">
        <f>Sheet1!D192</f>
        <v>ODRNO2607140078</v>
      </c>
      <c r="E192" t="str">
        <f>Sheet1!E192</f>
        <v>828PRS20260700338</v>
      </c>
      <c r="F192" t="str">
        <f>Sheet1!F192</f>
        <v>Sales Agent (SA)</v>
      </c>
      <c r="G192">
        <f>Sheet1!G192</f>
        <v>0</v>
      </c>
      <c r="H192">
        <f>Sheet1!H192</f>
        <v>0</v>
      </c>
      <c r="I192" t="str">
        <f>Sheet1!I192</f>
        <v>BATIN E TUWUILU</v>
      </c>
      <c r="J192" s="2">
        <f>Sheet1!K192</f>
        <v>46217.412820104197</v>
      </c>
      <c r="K192" s="2">
        <f>Sheet1!L192</f>
        <v>46226.333341122699</v>
      </c>
      <c r="L192" t="str">
        <f>Sheet1!M192</f>
        <v>Prospect Cancel</v>
      </c>
      <c r="M192" t="str">
        <f>Sheet1!P192</f>
        <v>HONDA</v>
      </c>
      <c r="N192" t="str">
        <f>Sheet1!Q192</f>
        <v>2022</v>
      </c>
      <c r="O192">
        <f>Sheet1!AB192</f>
        <v>0</v>
      </c>
      <c r="P192" s="2">
        <f>Sheet1!AD192</f>
        <v>0</v>
      </c>
      <c r="Q192" t="str">
        <f>Sheet1!AI192</f>
        <v>FEBRIAN HIZKIA KEREH-0626050</v>
      </c>
      <c r="R192" t="str">
        <f>Sheet1!AJ192</f>
        <v/>
      </c>
      <c r="S192" t="str">
        <f>Sheet1!AK192</f>
        <v>Cancel</v>
      </c>
      <c r="T192" t="str">
        <f>Sheet1!AL192</f>
        <v>SA</v>
      </c>
      <c r="U192">
        <f t="shared" si="2"/>
        <v>0</v>
      </c>
    </row>
    <row r="193" spans="1:21" x14ac:dyDescent="0.25">
      <c r="A193">
        <f>Sheet1!A193</f>
        <v>192</v>
      </c>
      <c r="B193" t="str">
        <f>Sheet1!B193</f>
        <v>MANADO</v>
      </c>
      <c r="C193" t="str">
        <f>Sheet1!C193</f>
        <v>TRULLY MEYLANI MAMUAJA</v>
      </c>
      <c r="D193" t="str">
        <f>Sheet1!D193</f>
        <v>ODRNO2607140150</v>
      </c>
      <c r="E193" t="str">
        <f>Sheet1!E193</f>
        <v>828PRS20260700339</v>
      </c>
      <c r="F193" t="str">
        <f>Sheet1!F193</f>
        <v>Sales Agent (SA)</v>
      </c>
      <c r="G193">
        <f>Sheet1!G193</f>
        <v>0</v>
      </c>
      <c r="H193">
        <f>Sheet1!H193</f>
        <v>0</v>
      </c>
      <c r="I193" t="str">
        <f>Sheet1!I193</f>
        <v>BATIN E TUWUILU</v>
      </c>
      <c r="J193" s="2">
        <f>Sheet1!K193</f>
        <v>46217.547006250003</v>
      </c>
      <c r="K193" s="2">
        <f>Sheet1!L193</f>
        <v>46226.333341122699</v>
      </c>
      <c r="L193" t="str">
        <f>Sheet1!M193</f>
        <v>Prospect Cancel</v>
      </c>
      <c r="M193" t="str">
        <f>Sheet1!P193</f>
        <v>HONDA</v>
      </c>
      <c r="N193" t="str">
        <f>Sheet1!Q193</f>
        <v>2022</v>
      </c>
      <c r="O193">
        <f>Sheet1!AB193</f>
        <v>0</v>
      </c>
      <c r="P193" s="2">
        <f>Sheet1!AD193</f>
        <v>0</v>
      </c>
      <c r="Q193" t="str">
        <f>Sheet1!AI193</f>
        <v>FEBRIAN HIZKIA KEREH-0626050</v>
      </c>
      <c r="R193" t="str">
        <f>Sheet1!AJ193</f>
        <v/>
      </c>
      <c r="S193" t="str">
        <f>Sheet1!AK193</f>
        <v>Cancel</v>
      </c>
      <c r="T193" t="str">
        <f>Sheet1!AL193</f>
        <v>SA</v>
      </c>
      <c r="U193">
        <f t="shared" si="2"/>
        <v>0</v>
      </c>
    </row>
    <row r="194" spans="1:21" x14ac:dyDescent="0.25">
      <c r="A194">
        <f>Sheet1!A194</f>
        <v>193</v>
      </c>
      <c r="B194" t="str">
        <f>Sheet1!B194</f>
        <v>MEDAN DUA</v>
      </c>
      <c r="C194" t="str">
        <f>Sheet1!C194</f>
        <v>NURSINTA FLORENSE PAKPAHAN</v>
      </c>
      <c r="D194" t="str">
        <f>Sheet1!D194</f>
        <v>ODRNO2607140021</v>
      </c>
      <c r="E194" t="str">
        <f>Sheet1!E194</f>
        <v>839PRS20260700925</v>
      </c>
      <c r="F194" t="str">
        <f>Sheet1!F194</f>
        <v>Sales Agent (SA)</v>
      </c>
      <c r="G194">
        <f>Sheet1!G194</f>
        <v>0</v>
      </c>
      <c r="H194" t="str">
        <f>Sheet1!H194</f>
        <v>839APP20260700027</v>
      </c>
      <c r="I194" t="str">
        <f>Sheet1!I194</f>
        <v>WASTO SIHOMBING</v>
      </c>
      <c r="J194" s="2">
        <f>Sheet1!K194</f>
        <v>46217.343421261598</v>
      </c>
      <c r="K194" s="2">
        <f>Sheet1!L194</f>
        <v>46223.7632276968</v>
      </c>
      <c r="L194" t="str">
        <f>Sheet1!M194</f>
        <v>Return Handling</v>
      </c>
      <c r="M194" t="str">
        <f>Sheet1!P194</f>
        <v>TOYOTA</v>
      </c>
      <c r="N194" t="str">
        <f>Sheet1!Q194</f>
        <v>2019</v>
      </c>
      <c r="O194">
        <f>Sheet1!AB194</f>
        <v>0</v>
      </c>
      <c r="P194" s="2">
        <f>Sheet1!AD194</f>
        <v>46223</v>
      </c>
      <c r="Q194" t="str">
        <f>Sheet1!AI194</f>
        <v>HERRY BUDIANTO MANULLANG-126401</v>
      </c>
      <c r="R194" t="str">
        <f>Sheet1!AJ194</f>
        <v/>
      </c>
      <c r="S194" t="str">
        <f>Sheet1!AK194</f>
        <v>In Proses</v>
      </c>
      <c r="T194" t="str">
        <f>Sheet1!AL194</f>
        <v>SA</v>
      </c>
      <c r="U194" t="str">
        <f t="shared" si="2"/>
        <v>Done Survey</v>
      </c>
    </row>
    <row r="195" spans="1:21" x14ac:dyDescent="0.25">
      <c r="A195">
        <f>Sheet1!A195</f>
        <v>194</v>
      </c>
      <c r="B195" t="str">
        <f>Sheet1!B195</f>
        <v>SUKABUMI</v>
      </c>
      <c r="C195" t="str">
        <f>Sheet1!C195</f>
        <v>muslim purba</v>
      </c>
      <c r="D195" t="str">
        <f>Sheet1!D195</f>
        <v>ODRNO2607140029</v>
      </c>
      <c r="E195" t="str">
        <f>Sheet1!E195</f>
        <v>841PRS20260701212</v>
      </c>
      <c r="F195" t="str">
        <f>Sheet1!F195</f>
        <v>Sales Agent (SA)</v>
      </c>
      <c r="G195">
        <f>Sheet1!G195</f>
        <v>0</v>
      </c>
      <c r="H195">
        <f>Sheet1!H195</f>
        <v>0</v>
      </c>
      <c r="I195" t="str">
        <f>Sheet1!I195</f>
        <v>BAYU SAPUTRA</v>
      </c>
      <c r="J195" s="2">
        <f>Sheet1!K195</f>
        <v>46217.355529664397</v>
      </c>
      <c r="K195" s="2">
        <f>Sheet1!L195</f>
        <v>46218.2928553241</v>
      </c>
      <c r="L195" t="str">
        <f>Sheet1!M195</f>
        <v>Prospect Cancel</v>
      </c>
      <c r="M195" t="str">
        <f>Sheet1!P195</f>
        <v>MITSUBISHI</v>
      </c>
      <c r="N195" t="str">
        <f>Sheet1!Q195</f>
        <v>2016</v>
      </c>
      <c r="O195">
        <f>Sheet1!AB195</f>
        <v>0</v>
      </c>
      <c r="P195" s="2">
        <f>Sheet1!AD195</f>
        <v>0</v>
      </c>
      <c r="Q195" t="str">
        <f>Sheet1!AI195</f>
        <v>A A GEDE BAGUS PUTRA WIRAWAN-0626024</v>
      </c>
      <c r="R195" t="str">
        <f>Sheet1!AJ195</f>
        <v/>
      </c>
      <c r="S195" t="str">
        <f>Sheet1!AK195</f>
        <v>Cancel</v>
      </c>
      <c r="T195" t="str">
        <f>Sheet1!AL195</f>
        <v>SA</v>
      </c>
      <c r="U195">
        <f t="shared" ref="U195:U258" si="3">IF(H195=0,0,"Done Survey")</f>
        <v>0</v>
      </c>
    </row>
    <row r="196" spans="1:21" x14ac:dyDescent="0.25">
      <c r="A196">
        <f>Sheet1!A196</f>
        <v>195</v>
      </c>
      <c r="B196" t="str">
        <f>Sheet1!B196</f>
        <v>SURABAYA SATU</v>
      </c>
      <c r="C196" t="str">
        <f>Sheet1!C196</f>
        <v>ida ayu gita karanasari</v>
      </c>
      <c r="D196" t="str">
        <f>Sheet1!D196</f>
        <v>ODRNO2607140153</v>
      </c>
      <c r="E196" t="str">
        <f>Sheet1!E196</f>
        <v>819PRS20260701019</v>
      </c>
      <c r="F196" t="str">
        <f>Sheet1!F196</f>
        <v>Sales Agent (SA)</v>
      </c>
      <c r="G196">
        <f>Sheet1!G196</f>
        <v>0</v>
      </c>
      <c r="H196">
        <f>Sheet1!H196</f>
        <v>0</v>
      </c>
      <c r="I196" t="str">
        <f>Sheet1!I196</f>
        <v>PONDRA PUJIONO</v>
      </c>
      <c r="J196" s="2">
        <f>Sheet1!K196</f>
        <v>46217.555310613403</v>
      </c>
      <c r="K196" s="2">
        <f>Sheet1!L196</f>
        <v>46218.292892673599</v>
      </c>
      <c r="L196" t="str">
        <f>Sheet1!M196</f>
        <v>Prospect Cancel</v>
      </c>
      <c r="M196" t="str">
        <f>Sheet1!P196</f>
        <v>TOYOTA</v>
      </c>
      <c r="N196" t="str">
        <f>Sheet1!Q196</f>
        <v>2015</v>
      </c>
      <c r="O196">
        <f>Sheet1!AB196</f>
        <v>0</v>
      </c>
      <c r="P196" s="2">
        <f>Sheet1!AD196</f>
        <v>0</v>
      </c>
      <c r="Q196" t="str">
        <f>Sheet1!AI196</f>
        <v>SARANITA KENCANA SARI-126043</v>
      </c>
      <c r="R196" t="str">
        <f>Sheet1!AJ196</f>
        <v/>
      </c>
      <c r="S196" t="str">
        <f>Sheet1!AK196</f>
        <v>Cancel</v>
      </c>
      <c r="T196" t="str">
        <f>Sheet1!AL196</f>
        <v>SA</v>
      </c>
      <c r="U196">
        <f t="shared" si="3"/>
        <v>0</v>
      </c>
    </row>
    <row r="197" spans="1:21" x14ac:dyDescent="0.25">
      <c r="A197">
        <f>Sheet1!A197</f>
        <v>196</v>
      </c>
      <c r="B197" t="str">
        <f>Sheet1!B197</f>
        <v>YOGYAKARTA</v>
      </c>
      <c r="C197" t="str">
        <f>Sheet1!C197</f>
        <v>DANIEL AGUNG IRWANTO</v>
      </c>
      <c r="D197" t="str">
        <f>Sheet1!D197</f>
        <v>ODRNO2607140086</v>
      </c>
      <c r="E197" t="str">
        <f>Sheet1!E197</f>
        <v>834PRS20260700805</v>
      </c>
      <c r="F197" t="str">
        <f>Sheet1!F197</f>
        <v>LandingPage</v>
      </c>
      <c r="G197">
        <f>Sheet1!G197</f>
        <v>0</v>
      </c>
      <c r="H197">
        <f>Sheet1!H197</f>
        <v>0</v>
      </c>
      <c r="I197" t="str">
        <f>Sheet1!I197</f>
        <v>SOFYAN BAYU SAIFULLOH</v>
      </c>
      <c r="J197" s="2">
        <f>Sheet1!K197</f>
        <v>46217.429287465297</v>
      </c>
      <c r="K197" s="2">
        <f>Sheet1!L197</f>
        <v>46218.403019710597</v>
      </c>
      <c r="L197" t="str">
        <f>Sheet1!M197</f>
        <v>Prospect Cancel</v>
      </c>
      <c r="M197" t="str">
        <f>Sheet1!P197</f>
        <v>SUZUKI</v>
      </c>
      <c r="N197" t="str">
        <f>Sheet1!Q197</f>
        <v>2017</v>
      </c>
      <c r="O197">
        <f>Sheet1!AB197</f>
        <v>0</v>
      </c>
      <c r="P197" s="2">
        <f>Sheet1!AD197</f>
        <v>0</v>
      </c>
      <c r="Q197">
        <f>Sheet1!AI197</f>
        <v>0</v>
      </c>
      <c r="R197">
        <f>Sheet1!AJ197</f>
        <v>0</v>
      </c>
      <c r="S197" t="str">
        <f>Sheet1!AK197</f>
        <v>Cancel</v>
      </c>
      <c r="T197" t="str">
        <f>Sheet1!AL197</f>
        <v>SA</v>
      </c>
      <c r="U197">
        <f t="shared" si="3"/>
        <v>0</v>
      </c>
    </row>
    <row r="198" spans="1:21" x14ac:dyDescent="0.25">
      <c r="A198">
        <f>Sheet1!A198</f>
        <v>197</v>
      </c>
      <c r="B198" t="str">
        <f>Sheet1!B198</f>
        <v>YOGYAKARTA</v>
      </c>
      <c r="C198" t="str">
        <f>Sheet1!C198</f>
        <v>GIOVANNI IKA INDRIYANI</v>
      </c>
      <c r="D198" t="str">
        <f>Sheet1!D198</f>
        <v>ODRNO2607140117</v>
      </c>
      <c r="E198" t="str">
        <f>Sheet1!E198</f>
        <v>834PRS20260700808</v>
      </c>
      <c r="F198" t="str">
        <f>Sheet1!F198</f>
        <v>LandingPage</v>
      </c>
      <c r="G198">
        <f>Sheet1!G198</f>
        <v>0</v>
      </c>
      <c r="H198">
        <f>Sheet1!H198</f>
        <v>0</v>
      </c>
      <c r="I198" t="str">
        <f>Sheet1!I198</f>
        <v>SOFYAN BAYU SAIFULLOH</v>
      </c>
      <c r="J198" s="2">
        <f>Sheet1!K198</f>
        <v>46217.5063234954</v>
      </c>
      <c r="K198" s="2">
        <f>Sheet1!L198</f>
        <v>46226.333341122699</v>
      </c>
      <c r="L198" t="str">
        <f>Sheet1!M198</f>
        <v>Prospect Cancel</v>
      </c>
      <c r="M198" t="str">
        <f>Sheet1!P198</f>
        <v>SUZUKI</v>
      </c>
      <c r="N198" t="str">
        <f>Sheet1!Q198</f>
        <v>2017</v>
      </c>
      <c r="O198">
        <f>Sheet1!AB198</f>
        <v>0</v>
      </c>
      <c r="P198" s="2">
        <f>Sheet1!AD198</f>
        <v>0</v>
      </c>
      <c r="Q198">
        <f>Sheet1!AI198</f>
        <v>0</v>
      </c>
      <c r="R198">
        <f>Sheet1!AJ198</f>
        <v>0</v>
      </c>
      <c r="S198" t="str">
        <f>Sheet1!AK198</f>
        <v>Cancel</v>
      </c>
      <c r="T198" t="str">
        <f>Sheet1!AL198</f>
        <v>SA</v>
      </c>
      <c r="U198">
        <f t="shared" si="3"/>
        <v>0</v>
      </c>
    </row>
    <row r="199" spans="1:21" x14ac:dyDescent="0.25">
      <c r="A199">
        <f>Sheet1!A199</f>
        <v>198</v>
      </c>
      <c r="B199" t="str">
        <f>Sheet1!B199</f>
        <v>ALAM SUTERA</v>
      </c>
      <c r="C199" t="str">
        <f>Sheet1!C199</f>
        <v>RININTA WIDAYANTO</v>
      </c>
      <c r="D199" t="str">
        <f>Sheet1!D199</f>
        <v>ODRNO2607150053</v>
      </c>
      <c r="E199" t="str">
        <f>Sheet1!E199</f>
        <v>838PRS20260702556</v>
      </c>
      <c r="F199" t="str">
        <f>Sheet1!F199</f>
        <v>Sales Agent (SA)</v>
      </c>
      <c r="G199" t="str">
        <f>Sheet1!G199</f>
        <v>8381022600043</v>
      </c>
      <c r="H199" t="str">
        <f>Sheet1!H199</f>
        <v>838APP20260700055</v>
      </c>
      <c r="I199" t="str">
        <f>Sheet1!I199</f>
        <v>IBRAHIM AZIZ</v>
      </c>
      <c r="J199" s="2">
        <f>Sheet1!K199</f>
        <v>46218.413332326403</v>
      </c>
      <c r="K199" s="2">
        <f>Sheet1!L199</f>
        <v>46221.380660532399</v>
      </c>
      <c r="L199" t="str">
        <f>Sheet1!M199</f>
        <v>Go Live</v>
      </c>
      <c r="M199" t="str">
        <f>Sheet1!P199</f>
        <v>TOYOTA</v>
      </c>
      <c r="N199" t="str">
        <f>Sheet1!Q199</f>
        <v>2018</v>
      </c>
      <c r="O199">
        <f>Sheet1!AB199</f>
        <v>124170500</v>
      </c>
      <c r="P199" s="2">
        <f>Sheet1!AD199</f>
        <v>46219</v>
      </c>
      <c r="Q199" t="str">
        <f>Sheet1!AI199</f>
        <v>APRILLIA ANGGRAENI-126005</v>
      </c>
      <c r="R199" t="str">
        <f>Sheet1!AJ199</f>
        <v/>
      </c>
      <c r="S199" t="str">
        <f>Sheet1!AK199</f>
        <v>Golive</v>
      </c>
      <c r="T199" t="str">
        <f>Sheet1!AL199</f>
        <v>SA</v>
      </c>
      <c r="U199" t="str">
        <f t="shared" si="3"/>
        <v>Done Survey</v>
      </c>
    </row>
    <row r="200" spans="1:21" x14ac:dyDescent="0.25">
      <c r="A200">
        <f>Sheet1!A200</f>
        <v>199</v>
      </c>
      <c r="B200" t="str">
        <f>Sheet1!B200</f>
        <v>ALAM SUTERA</v>
      </c>
      <c r="C200" t="str">
        <f>Sheet1!C200</f>
        <v>KHAIRI SYAMSI</v>
      </c>
      <c r="D200" t="str">
        <f>Sheet1!D200</f>
        <v>ODRNO2607150074</v>
      </c>
      <c r="E200" t="str">
        <f>Sheet1!E200</f>
        <v>838PRS20260702560</v>
      </c>
      <c r="F200" t="str">
        <f>Sheet1!F200</f>
        <v>Sales Agent (SA)</v>
      </c>
      <c r="G200">
        <f>Sheet1!G200</f>
        <v>0</v>
      </c>
      <c r="H200">
        <f>Sheet1!H200</f>
        <v>0</v>
      </c>
      <c r="I200" t="str">
        <f>Sheet1!I200</f>
        <v>IBRAHIM AZIZ</v>
      </c>
      <c r="J200" s="2">
        <f>Sheet1!K200</f>
        <v>46218.474378472201</v>
      </c>
      <c r="K200" s="2">
        <f>Sheet1!L200</f>
        <v>46226.333341122699</v>
      </c>
      <c r="L200" t="str">
        <f>Sheet1!M200</f>
        <v>Prospect Cancel</v>
      </c>
      <c r="M200" t="str">
        <f>Sheet1!P200</f>
        <v>TOYOTA</v>
      </c>
      <c r="N200" t="str">
        <f>Sheet1!Q200</f>
        <v>2018</v>
      </c>
      <c r="O200">
        <f>Sheet1!AB200</f>
        <v>0</v>
      </c>
      <c r="P200" s="2">
        <f>Sheet1!AD200</f>
        <v>0</v>
      </c>
      <c r="Q200" t="str">
        <f>Sheet1!AI200</f>
        <v>APRILLIA ANGGRAENI-126005</v>
      </c>
      <c r="R200" t="str">
        <f>Sheet1!AJ200</f>
        <v/>
      </c>
      <c r="S200" t="str">
        <f>Sheet1!AK200</f>
        <v>Cancel</v>
      </c>
      <c r="T200" t="str">
        <f>Sheet1!AL200</f>
        <v>SA</v>
      </c>
      <c r="U200">
        <f t="shared" si="3"/>
        <v>0</v>
      </c>
    </row>
    <row r="201" spans="1:21" x14ac:dyDescent="0.25">
      <c r="A201">
        <f>Sheet1!A201</f>
        <v>200</v>
      </c>
      <c r="B201" t="str">
        <f>Sheet1!B201</f>
        <v>BANDUNG</v>
      </c>
      <c r="C201" t="str">
        <f>Sheet1!C201</f>
        <v>Irpan Permana</v>
      </c>
      <c r="D201" t="str">
        <f>Sheet1!D201</f>
        <v>ODRNO2607150198</v>
      </c>
      <c r="E201" t="str">
        <f>Sheet1!E201</f>
        <v>813PRS20260705407</v>
      </c>
      <c r="F201" t="str">
        <f>Sheet1!F201</f>
        <v>Sales Agent (SA)</v>
      </c>
      <c r="G201">
        <f>Sheet1!G201</f>
        <v>0</v>
      </c>
      <c r="H201">
        <f>Sheet1!H201</f>
        <v>0</v>
      </c>
      <c r="I201" t="str">
        <f>Sheet1!I201</f>
        <v>RISKI DALNI</v>
      </c>
      <c r="J201" s="2">
        <f>Sheet1!K201</f>
        <v>46218.745595717599</v>
      </c>
      <c r="K201" s="2">
        <f>Sheet1!L201</f>
        <v>46227.333390821797</v>
      </c>
      <c r="L201" t="str">
        <f>Sheet1!M201</f>
        <v>Prospect Cancel</v>
      </c>
      <c r="M201" t="str">
        <f>Sheet1!P201</f>
        <v>DAIHATSU</v>
      </c>
      <c r="N201" t="str">
        <f>Sheet1!Q201</f>
        <v>2020</v>
      </c>
      <c r="O201">
        <f>Sheet1!AB201</f>
        <v>0</v>
      </c>
      <c r="P201" s="2">
        <f>Sheet1!AD201</f>
        <v>0</v>
      </c>
      <c r="Q201" t="str">
        <f>Sheet1!AI201</f>
        <v>HANAN MULYANA-0626048</v>
      </c>
      <c r="R201" t="str">
        <f>Sheet1!AJ201</f>
        <v/>
      </c>
      <c r="S201" t="str">
        <f>Sheet1!AK201</f>
        <v>Cancel</v>
      </c>
      <c r="T201" t="str">
        <f>Sheet1!AL201</f>
        <v>SA</v>
      </c>
      <c r="U201">
        <f t="shared" si="3"/>
        <v>0</v>
      </c>
    </row>
    <row r="202" spans="1:21" x14ac:dyDescent="0.25">
      <c r="A202">
        <f>Sheet1!A202</f>
        <v>201</v>
      </c>
      <c r="B202" t="str">
        <f>Sheet1!B202</f>
        <v>BANDUNG</v>
      </c>
      <c r="C202" t="str">
        <f>Sheet1!C202</f>
        <v>Deden Juliana</v>
      </c>
      <c r="D202" t="str">
        <f>Sheet1!D202</f>
        <v>ODRNO2607150201</v>
      </c>
      <c r="E202" t="str">
        <f>Sheet1!E202</f>
        <v>813PRS20260705408</v>
      </c>
      <c r="F202" t="str">
        <f>Sheet1!F202</f>
        <v>Sales Agent (SA)</v>
      </c>
      <c r="G202">
        <f>Sheet1!G202</f>
        <v>0</v>
      </c>
      <c r="H202">
        <f>Sheet1!H202</f>
        <v>0</v>
      </c>
      <c r="I202" t="str">
        <f>Sheet1!I202</f>
        <v>RISKI DALNI</v>
      </c>
      <c r="J202" s="2">
        <f>Sheet1!K202</f>
        <v>46218.7493511227</v>
      </c>
      <c r="K202" s="2">
        <f>Sheet1!L202</f>
        <v>46227.333390821797</v>
      </c>
      <c r="L202" t="str">
        <f>Sheet1!M202</f>
        <v>Prospect Cancel</v>
      </c>
      <c r="M202" t="str">
        <f>Sheet1!P202</f>
        <v>TOYOTA</v>
      </c>
      <c r="N202" t="str">
        <f>Sheet1!Q202</f>
        <v>2017</v>
      </c>
      <c r="O202">
        <f>Sheet1!AB202</f>
        <v>0</v>
      </c>
      <c r="P202" s="2">
        <f>Sheet1!AD202</f>
        <v>0</v>
      </c>
      <c r="Q202" t="str">
        <f>Sheet1!AI202</f>
        <v>REZA KURNIAWAN-0626057</v>
      </c>
      <c r="R202" t="str">
        <f>Sheet1!AJ202</f>
        <v/>
      </c>
      <c r="S202" t="str">
        <f>Sheet1!AK202</f>
        <v>Cancel</v>
      </c>
      <c r="T202" t="str">
        <f>Sheet1!AL202</f>
        <v>SA</v>
      </c>
      <c r="U202">
        <f t="shared" si="3"/>
        <v>0</v>
      </c>
    </row>
    <row r="203" spans="1:21" x14ac:dyDescent="0.25">
      <c r="A203">
        <f>Sheet1!A203</f>
        <v>202</v>
      </c>
      <c r="B203" t="str">
        <f>Sheet1!B203</f>
        <v>BEKASI</v>
      </c>
      <c r="C203" t="str">
        <f>Sheet1!C203</f>
        <v>RUSTAM</v>
      </c>
      <c r="D203" t="str">
        <f>Sheet1!D203</f>
        <v>ODRNO2607150136</v>
      </c>
      <c r="E203" t="str">
        <f>Sheet1!E203</f>
        <v>811PRS20260704802</v>
      </c>
      <c r="F203" t="str">
        <f>Sheet1!F203</f>
        <v>Sales Agent (SA)</v>
      </c>
      <c r="G203">
        <f>Sheet1!G203</f>
        <v>0</v>
      </c>
      <c r="H203">
        <f>Sheet1!H203</f>
        <v>0</v>
      </c>
      <c r="I203" t="str">
        <f>Sheet1!I203</f>
        <v>KURNIAWAN ARIBOWO</v>
      </c>
      <c r="J203" s="2">
        <f>Sheet1!K203</f>
        <v>46218.603808217602</v>
      </c>
      <c r="K203" s="2">
        <f>Sheet1!L203</f>
        <v>46218.684108449102</v>
      </c>
      <c r="L203" t="str">
        <f>Sheet1!M203</f>
        <v>Prospect Cancel</v>
      </c>
      <c r="M203" t="str">
        <f>Sheet1!P203</f>
        <v>TOYOTA</v>
      </c>
      <c r="N203" t="str">
        <f>Sheet1!Q203</f>
        <v>2019</v>
      </c>
      <c r="O203">
        <f>Sheet1!AB203</f>
        <v>0</v>
      </c>
      <c r="P203" s="2">
        <f>Sheet1!AD203</f>
        <v>0</v>
      </c>
      <c r="Q203" t="str">
        <f>Sheet1!AI203</f>
        <v>RIFKI ARDIAN-126166</v>
      </c>
      <c r="R203" t="str">
        <f>Sheet1!AJ203</f>
        <v/>
      </c>
      <c r="S203" t="str">
        <f>Sheet1!AK203</f>
        <v>Cancel</v>
      </c>
      <c r="T203" t="str">
        <f>Sheet1!AL203</f>
        <v>SA</v>
      </c>
      <c r="U203">
        <f t="shared" si="3"/>
        <v>0</v>
      </c>
    </row>
    <row r="204" spans="1:21" x14ac:dyDescent="0.25">
      <c r="A204">
        <f>Sheet1!A204</f>
        <v>203</v>
      </c>
      <c r="B204" t="str">
        <f>Sheet1!B204</f>
        <v>BENGKULU</v>
      </c>
      <c r="C204" t="str">
        <f>Sheet1!C204</f>
        <v>heffi laila sari</v>
      </c>
      <c r="D204" t="str">
        <f>Sheet1!D204</f>
        <v>ODRNO2607150144</v>
      </c>
      <c r="E204" t="str">
        <f>Sheet1!E204</f>
        <v>809PRS20260701294</v>
      </c>
      <c r="F204" t="str">
        <f>Sheet1!F204</f>
        <v>Sales Agent (SA)</v>
      </c>
      <c r="G204">
        <f>Sheet1!G204</f>
        <v>0</v>
      </c>
      <c r="H204">
        <f>Sheet1!H204</f>
        <v>0</v>
      </c>
      <c r="I204" t="str">
        <f>Sheet1!I204</f>
        <v>ADE CHANDRA PANE</v>
      </c>
      <c r="J204" s="2">
        <f>Sheet1!K204</f>
        <v>46218.617669097199</v>
      </c>
      <c r="K204" s="2">
        <f>Sheet1!L204</f>
        <v>46218.684112002302</v>
      </c>
      <c r="L204" t="str">
        <f>Sheet1!M204</f>
        <v>Prospect Cancel</v>
      </c>
      <c r="M204" t="str">
        <f>Sheet1!P204</f>
        <v>HONDA</v>
      </c>
      <c r="N204" t="str">
        <f>Sheet1!Q204</f>
        <v>2016</v>
      </c>
      <c r="O204">
        <f>Sheet1!AB204</f>
        <v>0</v>
      </c>
      <c r="P204" s="2">
        <f>Sheet1!AD204</f>
        <v>0</v>
      </c>
      <c r="Q204" t="str">
        <f>Sheet1!AI204</f>
        <v>IMSON SAHRI-126370</v>
      </c>
      <c r="R204" t="str">
        <f>Sheet1!AJ204</f>
        <v/>
      </c>
      <c r="S204" t="str">
        <f>Sheet1!AK204</f>
        <v>Cancel</v>
      </c>
      <c r="T204" t="str">
        <f>Sheet1!AL204</f>
        <v>SA</v>
      </c>
      <c r="U204">
        <f t="shared" si="3"/>
        <v>0</v>
      </c>
    </row>
    <row r="205" spans="1:21" x14ac:dyDescent="0.25">
      <c r="A205">
        <f>Sheet1!A205</f>
        <v>204</v>
      </c>
      <c r="B205" t="str">
        <f>Sheet1!B205</f>
        <v>BOGOR</v>
      </c>
      <c r="C205" t="str">
        <f>Sheet1!C205</f>
        <v>DEWI ENDAWATI</v>
      </c>
      <c r="D205" t="str">
        <f>Sheet1!D205</f>
        <v>ODRNO2607150192</v>
      </c>
      <c r="E205" t="str">
        <f>Sheet1!E205</f>
        <v>812PRS20260701371</v>
      </c>
      <c r="F205" t="str">
        <f>Sheet1!F205</f>
        <v>Sales Agent (SA)</v>
      </c>
      <c r="G205" t="str">
        <f>Sheet1!G205</f>
        <v>8121022600024</v>
      </c>
      <c r="H205" t="str">
        <f>Sheet1!H205</f>
        <v>812APP20260700038</v>
      </c>
      <c r="I205" t="str">
        <f>Sheet1!I205</f>
        <v>EKA SUNARYO</v>
      </c>
      <c r="J205" s="2">
        <f>Sheet1!K205</f>
        <v>46218.716119525503</v>
      </c>
      <c r="K205" s="2">
        <f>Sheet1!L205</f>
        <v>46232.3779993403</v>
      </c>
      <c r="L205" t="str">
        <f>Sheet1!M205</f>
        <v>Go Live</v>
      </c>
      <c r="M205" t="str">
        <f>Sheet1!P205</f>
        <v>MITSUBISHI</v>
      </c>
      <c r="N205" t="str">
        <f>Sheet1!Q205</f>
        <v>2019</v>
      </c>
      <c r="O205">
        <f>Sheet1!AB205</f>
        <v>119813000</v>
      </c>
      <c r="P205" s="2">
        <f>Sheet1!AD205</f>
        <v>46231</v>
      </c>
      <c r="Q205" t="str">
        <f>Sheet1!AI205</f>
        <v>BILLIE SAPTORANGGA-226140</v>
      </c>
      <c r="R205" t="str">
        <f>Sheet1!AJ205</f>
        <v/>
      </c>
      <c r="S205" t="str">
        <f>Sheet1!AK205</f>
        <v>Golive</v>
      </c>
      <c r="T205" t="str">
        <f>Sheet1!AL205</f>
        <v>SA</v>
      </c>
      <c r="U205" t="str">
        <f t="shared" si="3"/>
        <v>Done Survey</v>
      </c>
    </row>
    <row r="206" spans="1:21" x14ac:dyDescent="0.25">
      <c r="A206">
        <f>Sheet1!A206</f>
        <v>205</v>
      </c>
      <c r="B206" t="str">
        <f>Sheet1!B206</f>
        <v>FATMAWATI</v>
      </c>
      <c r="C206" t="str">
        <f>Sheet1!C206</f>
        <v>arzhen zaenudin</v>
      </c>
      <c r="D206" t="str">
        <f>Sheet1!D206</f>
        <v>ODRNO2607150096</v>
      </c>
      <c r="E206" t="str">
        <f>Sheet1!E206</f>
        <v>802PRS20260702299</v>
      </c>
      <c r="F206" t="str">
        <f>Sheet1!F206</f>
        <v>Sales Agent (SA)</v>
      </c>
      <c r="G206">
        <f>Sheet1!G206</f>
        <v>0</v>
      </c>
      <c r="H206">
        <f>Sheet1!H206</f>
        <v>0</v>
      </c>
      <c r="I206" t="str">
        <f>Sheet1!I206</f>
        <v>RIZQI APRIANSYAH</v>
      </c>
      <c r="J206" s="2">
        <f>Sheet1!K206</f>
        <v>46218.516438159699</v>
      </c>
      <c r="K206" s="2">
        <f>Sheet1!L206</f>
        <v>46226.333341122699</v>
      </c>
      <c r="L206" t="str">
        <f>Sheet1!M206</f>
        <v>Prospect Cancel</v>
      </c>
      <c r="M206" t="str">
        <f>Sheet1!P206</f>
        <v>DAIHATSU</v>
      </c>
      <c r="N206" t="str">
        <f>Sheet1!Q206</f>
        <v>2017</v>
      </c>
      <c r="O206">
        <f>Sheet1!AB206</f>
        <v>0</v>
      </c>
      <c r="P206" s="2">
        <f>Sheet1!AD206</f>
        <v>0</v>
      </c>
      <c r="Q206" t="str">
        <f>Sheet1!AI206</f>
        <v>RENDI TRIANTARA-0726013</v>
      </c>
      <c r="R206" t="str">
        <f>Sheet1!AJ206</f>
        <v/>
      </c>
      <c r="S206" t="str">
        <f>Sheet1!AK206</f>
        <v>Cancel</v>
      </c>
      <c r="T206" t="str">
        <f>Sheet1!AL206</f>
        <v>SA</v>
      </c>
      <c r="U206">
        <f t="shared" si="3"/>
        <v>0</v>
      </c>
    </row>
    <row r="207" spans="1:21" x14ac:dyDescent="0.25">
      <c r="A207">
        <f>Sheet1!A207</f>
        <v>206</v>
      </c>
      <c r="B207" t="str">
        <f>Sheet1!B207</f>
        <v>FATMAWATI</v>
      </c>
      <c r="C207" t="str">
        <f>Sheet1!C207</f>
        <v>RISA MARDIANA</v>
      </c>
      <c r="D207" t="str">
        <f>Sheet1!D207</f>
        <v>ODRNO2607150173</v>
      </c>
      <c r="E207" t="str">
        <f>Sheet1!E207</f>
        <v>802PRS20260702300</v>
      </c>
      <c r="F207" t="str">
        <f>Sheet1!F207</f>
        <v>Sales Agent (SA)</v>
      </c>
      <c r="G207">
        <f>Sheet1!G207</f>
        <v>0</v>
      </c>
      <c r="H207">
        <f>Sheet1!H207</f>
        <v>0</v>
      </c>
      <c r="I207" t="str">
        <f>Sheet1!I207</f>
        <v>RIZQI APRIANSYAH</v>
      </c>
      <c r="J207" s="2">
        <f>Sheet1!K207</f>
        <v>46218.675905555603</v>
      </c>
      <c r="K207" s="2">
        <f>Sheet1!L207</f>
        <v>46227.333390821797</v>
      </c>
      <c r="L207" t="str">
        <f>Sheet1!M207</f>
        <v>Prospect Cancel</v>
      </c>
      <c r="M207" t="str">
        <f>Sheet1!P207</f>
        <v>TOYOTA</v>
      </c>
      <c r="N207" t="str">
        <f>Sheet1!Q207</f>
        <v>2011</v>
      </c>
      <c r="O207">
        <f>Sheet1!AB207</f>
        <v>0</v>
      </c>
      <c r="P207" s="2">
        <f>Sheet1!AD207</f>
        <v>0</v>
      </c>
      <c r="Q207" t="str">
        <f>Sheet1!AI207</f>
        <v>RENDI TRIANTARA-0726013</v>
      </c>
      <c r="R207" t="str">
        <f>Sheet1!AJ207</f>
        <v/>
      </c>
      <c r="S207" t="str">
        <f>Sheet1!AK207</f>
        <v>Cancel</v>
      </c>
      <c r="T207" t="str">
        <f>Sheet1!AL207</f>
        <v>SA</v>
      </c>
      <c r="U207">
        <f t="shared" si="3"/>
        <v>0</v>
      </c>
    </row>
    <row r="208" spans="1:21" x14ac:dyDescent="0.25">
      <c r="A208">
        <f>Sheet1!A208</f>
        <v>207</v>
      </c>
      <c r="B208" t="str">
        <f>Sheet1!B208</f>
        <v>FATMAWATI</v>
      </c>
      <c r="C208" t="str">
        <f>Sheet1!C208</f>
        <v>dwi irmawati</v>
      </c>
      <c r="D208" t="str">
        <f>Sheet1!D208</f>
        <v>ODRNO2607150177</v>
      </c>
      <c r="E208" t="str">
        <f>Sheet1!E208</f>
        <v>802PRS20260702302</v>
      </c>
      <c r="F208" t="str">
        <f>Sheet1!F208</f>
        <v>Sales Agent (SA)</v>
      </c>
      <c r="G208">
        <f>Sheet1!G208</f>
        <v>0</v>
      </c>
      <c r="H208">
        <f>Sheet1!H208</f>
        <v>0</v>
      </c>
      <c r="I208" t="str">
        <f>Sheet1!I208</f>
        <v>RIZQI APRIANSYAH</v>
      </c>
      <c r="J208" s="2">
        <f>Sheet1!K208</f>
        <v>46218.680387997701</v>
      </c>
      <c r="K208" s="2">
        <f>Sheet1!L208</f>
        <v>46219.291784606503</v>
      </c>
      <c r="L208" t="str">
        <f>Sheet1!M208</f>
        <v>Prospect Cancel</v>
      </c>
      <c r="M208" t="str">
        <f>Sheet1!P208</f>
        <v>DAIHATSU</v>
      </c>
      <c r="N208" t="str">
        <f>Sheet1!Q208</f>
        <v>2017</v>
      </c>
      <c r="O208">
        <f>Sheet1!AB208</f>
        <v>0</v>
      </c>
      <c r="P208" s="2">
        <f>Sheet1!AD208</f>
        <v>0</v>
      </c>
      <c r="Q208" t="str">
        <f>Sheet1!AI208</f>
        <v>RENDI TRIANTARA-0726013</v>
      </c>
      <c r="R208" t="str">
        <f>Sheet1!AJ208</f>
        <v/>
      </c>
      <c r="S208" t="str">
        <f>Sheet1!AK208</f>
        <v>Cancel</v>
      </c>
      <c r="T208" t="str">
        <f>Sheet1!AL208</f>
        <v>SA</v>
      </c>
      <c r="U208">
        <f t="shared" si="3"/>
        <v>0</v>
      </c>
    </row>
    <row r="209" spans="1:21" x14ac:dyDescent="0.25">
      <c r="A209">
        <f>Sheet1!A209</f>
        <v>208</v>
      </c>
      <c r="B209" t="str">
        <f>Sheet1!B209</f>
        <v>KEMAYORAN</v>
      </c>
      <c r="C209" t="str">
        <f>Sheet1!C209</f>
        <v>Johar</v>
      </c>
      <c r="D209" t="str">
        <f>Sheet1!D209</f>
        <v>ODRNO2607150168</v>
      </c>
      <c r="E209" t="str">
        <f>Sheet1!E209</f>
        <v>801PRS20260700908</v>
      </c>
      <c r="F209" t="str">
        <f>Sheet1!F209</f>
        <v>Sales Agent (SA)</v>
      </c>
      <c r="G209">
        <f>Sheet1!G209</f>
        <v>0</v>
      </c>
      <c r="H209">
        <f>Sheet1!H209</f>
        <v>0</v>
      </c>
      <c r="I209" t="str">
        <f>Sheet1!I209</f>
        <v>MUHAMMAD RIZQY KEMAL</v>
      </c>
      <c r="J209" s="2">
        <f>Sheet1!K209</f>
        <v>46218.671128784699</v>
      </c>
      <c r="K209" s="2">
        <f>Sheet1!L209</f>
        <v>46219.522445636598</v>
      </c>
      <c r="L209" t="str">
        <f>Sheet1!M209</f>
        <v>Prospect Cancel</v>
      </c>
      <c r="M209" t="str">
        <f>Sheet1!P209</f>
        <v>DAIHATSU</v>
      </c>
      <c r="N209" t="str">
        <f>Sheet1!Q209</f>
        <v>2016</v>
      </c>
      <c r="O209">
        <f>Sheet1!AB209</f>
        <v>0</v>
      </c>
      <c r="P209" s="2">
        <f>Sheet1!AD209</f>
        <v>0</v>
      </c>
      <c r="Q209" t="str">
        <f>Sheet1!AI209</f>
        <v>ANDI BILLA SHAHZAD MACORA-0626005</v>
      </c>
      <c r="R209" t="str">
        <f>Sheet1!AJ209</f>
        <v/>
      </c>
      <c r="S209" t="str">
        <f>Sheet1!AK209</f>
        <v>Cancel</v>
      </c>
      <c r="T209" t="str">
        <f>Sheet1!AL209</f>
        <v>SA</v>
      </c>
      <c r="U209">
        <f t="shared" si="3"/>
        <v>0</v>
      </c>
    </row>
    <row r="210" spans="1:21" x14ac:dyDescent="0.25">
      <c r="A210">
        <f>Sheet1!A210</f>
        <v>209</v>
      </c>
      <c r="B210" t="str">
        <f>Sheet1!B210</f>
        <v>KEMAYORAN</v>
      </c>
      <c r="C210" t="str">
        <f>Sheet1!C210</f>
        <v>Hilyawati Toyibah</v>
      </c>
      <c r="D210" t="str">
        <f>Sheet1!D210</f>
        <v>ODRNO2607150209</v>
      </c>
      <c r="E210" t="str">
        <f>Sheet1!E210</f>
        <v>801PRS20260700909</v>
      </c>
      <c r="F210" t="str">
        <f>Sheet1!F210</f>
        <v>Sales Agent (SA)</v>
      </c>
      <c r="G210">
        <f>Sheet1!G210</f>
        <v>0</v>
      </c>
      <c r="H210" t="str">
        <f>Sheet1!H210</f>
        <v>801APP20260700091</v>
      </c>
      <c r="I210" t="str">
        <f>Sheet1!I210</f>
        <v>MUHAMMAD RIZQY KEMAL</v>
      </c>
      <c r="J210" s="2">
        <f>Sheet1!K210</f>
        <v>46218.830551886596</v>
      </c>
      <c r="K210" s="2">
        <f>Sheet1!L210</f>
        <v>46222.634854513897</v>
      </c>
      <c r="L210" t="str">
        <f>Sheet1!M210</f>
        <v>Return Handling</v>
      </c>
      <c r="M210" t="str">
        <f>Sheet1!P210</f>
        <v>HONDA</v>
      </c>
      <c r="N210" t="str">
        <f>Sheet1!Q210</f>
        <v>2018</v>
      </c>
      <c r="O210">
        <f>Sheet1!AB210</f>
        <v>0</v>
      </c>
      <c r="P210" s="2">
        <f>Sheet1!AD210</f>
        <v>46220</v>
      </c>
      <c r="Q210" t="str">
        <f>Sheet1!AI210</f>
        <v>TARIDA BILL CLINTON-426034</v>
      </c>
      <c r="R210" t="str">
        <f>Sheet1!AJ210</f>
        <v/>
      </c>
      <c r="S210" t="str">
        <f>Sheet1!AK210</f>
        <v>In Proses</v>
      </c>
      <c r="T210" t="str">
        <f>Sheet1!AL210</f>
        <v>SA</v>
      </c>
      <c r="U210" t="str">
        <f t="shared" si="3"/>
        <v>Done Survey</v>
      </c>
    </row>
    <row r="211" spans="1:21" x14ac:dyDescent="0.25">
      <c r="A211">
        <f>Sheet1!A211</f>
        <v>210</v>
      </c>
      <c r="B211" t="str">
        <f>Sheet1!B211</f>
        <v>LAMPUNG</v>
      </c>
      <c r="C211" t="str">
        <f>Sheet1!C211</f>
        <v>sonya yunita adriati</v>
      </c>
      <c r="D211" t="str">
        <f>Sheet1!D211</f>
        <v>ODRNO2607150178</v>
      </c>
      <c r="E211" t="str">
        <f>Sheet1!E211</f>
        <v>810PRS20260700711</v>
      </c>
      <c r="F211" t="str">
        <f>Sheet1!F211</f>
        <v>Sales Agent (SA)</v>
      </c>
      <c r="G211">
        <f>Sheet1!G211</f>
        <v>0</v>
      </c>
      <c r="H211">
        <f>Sheet1!H211</f>
        <v>0</v>
      </c>
      <c r="I211" t="str">
        <f>Sheet1!I211</f>
        <v>AZWAN</v>
      </c>
      <c r="J211" s="2">
        <f>Sheet1!K211</f>
        <v>46218.681944872696</v>
      </c>
      <c r="K211" s="2">
        <f>Sheet1!L211</f>
        <v>46227.333390821797</v>
      </c>
      <c r="L211" t="str">
        <f>Sheet1!M211</f>
        <v>Prospect Cancel</v>
      </c>
      <c r="M211" t="str">
        <f>Sheet1!P211</f>
        <v>TOYOTA</v>
      </c>
      <c r="N211" t="str">
        <f>Sheet1!Q211</f>
        <v>2018</v>
      </c>
      <c r="O211">
        <f>Sheet1!AB211</f>
        <v>0</v>
      </c>
      <c r="P211" s="2">
        <f>Sheet1!AD211</f>
        <v>0</v>
      </c>
      <c r="Q211" t="str">
        <f>Sheet1!AI211</f>
        <v>SUTANTO-126267</v>
      </c>
      <c r="R211" t="str">
        <f>Sheet1!AJ211</f>
        <v/>
      </c>
      <c r="S211" t="str">
        <f>Sheet1!AK211</f>
        <v>Cancel</v>
      </c>
      <c r="T211" t="str">
        <f>Sheet1!AL211</f>
        <v>SA</v>
      </c>
      <c r="U211">
        <f t="shared" si="3"/>
        <v>0</v>
      </c>
    </row>
    <row r="212" spans="1:21" x14ac:dyDescent="0.25">
      <c r="A212">
        <f>Sheet1!A212</f>
        <v>211</v>
      </c>
      <c r="B212" t="str">
        <f>Sheet1!B212</f>
        <v>MEDAN DUA</v>
      </c>
      <c r="C212" t="str">
        <f>Sheet1!C212</f>
        <v>HERIANTO BARUS</v>
      </c>
      <c r="D212" t="str">
        <f>Sheet1!D212</f>
        <v>ODRNO2607150125</v>
      </c>
      <c r="E212" t="str">
        <f>Sheet1!E212</f>
        <v>839PRS20260700936</v>
      </c>
      <c r="F212" t="str">
        <f>Sheet1!F212</f>
        <v>Sales Agent (SA)</v>
      </c>
      <c r="G212">
        <f>Sheet1!G212</f>
        <v>0</v>
      </c>
      <c r="H212">
        <f>Sheet1!H212</f>
        <v>0</v>
      </c>
      <c r="I212" t="str">
        <f>Sheet1!I212</f>
        <v>WASTO SIHOMBING</v>
      </c>
      <c r="J212" s="2">
        <f>Sheet1!K212</f>
        <v>46218.583418634298</v>
      </c>
      <c r="K212" s="2">
        <f>Sheet1!L212</f>
        <v>46218.684107372697</v>
      </c>
      <c r="L212" t="str">
        <f>Sheet1!M212</f>
        <v>Prospect Cancel</v>
      </c>
      <c r="M212" t="str">
        <f>Sheet1!P212</f>
        <v>TOYOTA</v>
      </c>
      <c r="N212" t="str">
        <f>Sheet1!Q212</f>
        <v>2019</v>
      </c>
      <c r="O212">
        <f>Sheet1!AB212</f>
        <v>0</v>
      </c>
      <c r="P212" s="2">
        <f>Sheet1!AD212</f>
        <v>0</v>
      </c>
      <c r="Q212" t="str">
        <f>Sheet1!AI212</f>
        <v>ALEXANDER SIREGAR-126373</v>
      </c>
      <c r="R212" t="str">
        <f>Sheet1!AJ212</f>
        <v/>
      </c>
      <c r="S212" t="str">
        <f>Sheet1!AK212</f>
        <v>Cancel</v>
      </c>
      <c r="T212" t="str">
        <f>Sheet1!AL212</f>
        <v>SA</v>
      </c>
      <c r="U212">
        <f t="shared" si="3"/>
        <v>0</v>
      </c>
    </row>
    <row r="213" spans="1:21" x14ac:dyDescent="0.25">
      <c r="A213">
        <f>Sheet1!A213</f>
        <v>212</v>
      </c>
      <c r="B213" t="str">
        <f>Sheet1!B213</f>
        <v>MEDAN DUA</v>
      </c>
      <c r="C213" t="str">
        <f>Sheet1!C213</f>
        <v>RYAN GUNAWAN</v>
      </c>
      <c r="D213" t="str">
        <f>Sheet1!D213</f>
        <v>ODRNO2607150127</v>
      </c>
      <c r="E213" t="str">
        <f>Sheet1!E213</f>
        <v>839PRS20260700937</v>
      </c>
      <c r="F213" t="str">
        <f>Sheet1!F213</f>
        <v>Sales Agent (SA)</v>
      </c>
      <c r="G213">
        <f>Sheet1!G213</f>
        <v>0</v>
      </c>
      <c r="H213">
        <f>Sheet1!H213</f>
        <v>0</v>
      </c>
      <c r="I213" t="str">
        <f>Sheet1!I213</f>
        <v>WASTO SIHOMBING</v>
      </c>
      <c r="J213" s="2">
        <f>Sheet1!K213</f>
        <v>46218.586614085601</v>
      </c>
      <c r="K213" s="2">
        <f>Sheet1!L213</f>
        <v>46218.684107141198</v>
      </c>
      <c r="L213" t="str">
        <f>Sheet1!M213</f>
        <v>Prospect Cancel</v>
      </c>
      <c r="M213" t="str">
        <f>Sheet1!P213</f>
        <v>TOYOTA</v>
      </c>
      <c r="N213" t="str">
        <f>Sheet1!Q213</f>
        <v>2021</v>
      </c>
      <c r="O213">
        <f>Sheet1!AB213</f>
        <v>0</v>
      </c>
      <c r="P213" s="2">
        <f>Sheet1!AD213</f>
        <v>0</v>
      </c>
      <c r="Q213" t="str">
        <f>Sheet1!AI213</f>
        <v>ALEXANDER SIREGAR-126373</v>
      </c>
      <c r="R213" t="str">
        <f>Sheet1!AJ213</f>
        <v/>
      </c>
      <c r="S213" t="str">
        <f>Sheet1!AK213</f>
        <v>Cancel</v>
      </c>
      <c r="T213" t="str">
        <f>Sheet1!AL213</f>
        <v>SA</v>
      </c>
      <c r="U213">
        <f t="shared" si="3"/>
        <v>0</v>
      </c>
    </row>
    <row r="214" spans="1:21" x14ac:dyDescent="0.25">
      <c r="A214">
        <f>Sheet1!A214</f>
        <v>213</v>
      </c>
      <c r="B214" t="str">
        <f>Sheet1!B214</f>
        <v>PALANGKARAYA</v>
      </c>
      <c r="C214" t="str">
        <f>Sheet1!C214</f>
        <v>Tatau Arnold Pisy</v>
      </c>
      <c r="D214" t="str">
        <f>Sheet1!D214</f>
        <v>ODRNO2607150120</v>
      </c>
      <c r="E214" t="str">
        <f>Sheet1!E214</f>
        <v>829PRS20260701860</v>
      </c>
      <c r="F214" t="str">
        <f>Sheet1!F214</f>
        <v>Telemarketing Program</v>
      </c>
      <c r="G214" t="str">
        <f>Sheet1!G214</f>
        <v>8291032600006</v>
      </c>
      <c r="H214" t="str">
        <f>Sheet1!H214</f>
        <v>829APP20260700034</v>
      </c>
      <c r="I214" t="str">
        <f>Sheet1!I214</f>
        <v>ARDIANSYAH</v>
      </c>
      <c r="J214" s="2">
        <f>Sheet1!K214</f>
        <v>46218.571558182899</v>
      </c>
      <c r="K214" s="2">
        <f>Sheet1!L214</f>
        <v>46223.916033645801</v>
      </c>
      <c r="L214" t="str">
        <f>Sheet1!M214</f>
        <v>Go Live</v>
      </c>
      <c r="M214" t="str">
        <f>Sheet1!P214</f>
        <v>TOYOTA</v>
      </c>
      <c r="N214" t="str">
        <f>Sheet1!Q214</f>
        <v>2022</v>
      </c>
      <c r="O214">
        <f>Sheet1!AB214</f>
        <v>162996500</v>
      </c>
      <c r="P214" s="2">
        <f>Sheet1!AD214</f>
        <v>46221</v>
      </c>
      <c r="Q214">
        <f>Sheet1!AI214</f>
        <v>0</v>
      </c>
      <c r="R214">
        <f>Sheet1!AJ214</f>
        <v>0</v>
      </c>
      <c r="S214" t="str">
        <f>Sheet1!AK214</f>
        <v>Golive</v>
      </c>
      <c r="T214" t="str">
        <f>Sheet1!AL214</f>
        <v>Tele</v>
      </c>
      <c r="U214" t="str">
        <f t="shared" si="3"/>
        <v>Done Survey</v>
      </c>
    </row>
    <row r="215" spans="1:21" x14ac:dyDescent="0.25">
      <c r="A215">
        <f>Sheet1!A215</f>
        <v>214</v>
      </c>
      <c r="B215" t="str">
        <f>Sheet1!B215</f>
        <v>PEKANBARU</v>
      </c>
      <c r="C215" t="str">
        <f>Sheet1!C215</f>
        <v>MUHAMMAD ALIF PURNAMA</v>
      </c>
      <c r="D215" t="str">
        <f>Sheet1!D215</f>
        <v>ODRNO2607150159</v>
      </c>
      <c r="E215" t="str">
        <f>Sheet1!E215</f>
        <v>805PRS20260702643</v>
      </c>
      <c r="F215" t="str">
        <f>Sheet1!F215</f>
        <v>Sales Agent (SA)</v>
      </c>
      <c r="G215">
        <f>Sheet1!G215</f>
        <v>0</v>
      </c>
      <c r="H215">
        <f>Sheet1!H215</f>
        <v>0</v>
      </c>
      <c r="I215" t="str">
        <f>Sheet1!I215</f>
        <v>MUHAMMAD RIDWAN</v>
      </c>
      <c r="J215" s="2">
        <f>Sheet1!K215</f>
        <v>46218.639898379603</v>
      </c>
      <c r="K215" s="2">
        <f>Sheet1!L215</f>
        <v>46226.333341122699</v>
      </c>
      <c r="L215" t="str">
        <f>Sheet1!M215</f>
        <v>Prospect Cancel</v>
      </c>
      <c r="M215" t="str">
        <f>Sheet1!P215</f>
        <v>TOYOTA</v>
      </c>
      <c r="N215" t="str">
        <f>Sheet1!Q215</f>
        <v>2016</v>
      </c>
      <c r="O215">
        <f>Sheet1!AB215</f>
        <v>0</v>
      </c>
      <c r="P215" s="2">
        <f>Sheet1!AD215</f>
        <v>0</v>
      </c>
      <c r="Q215" t="str">
        <f>Sheet1!AI215</f>
        <v>WIWIN PRASETYA-126121</v>
      </c>
      <c r="R215" t="str">
        <f>Sheet1!AJ215</f>
        <v/>
      </c>
      <c r="S215" t="str">
        <f>Sheet1!AK215</f>
        <v>Cancel</v>
      </c>
      <c r="T215" t="str">
        <f>Sheet1!AL215</f>
        <v>SA</v>
      </c>
      <c r="U215">
        <f t="shared" si="3"/>
        <v>0</v>
      </c>
    </row>
    <row r="216" spans="1:21" x14ac:dyDescent="0.25">
      <c r="A216">
        <f>Sheet1!A216</f>
        <v>215</v>
      </c>
      <c r="B216" t="str">
        <f>Sheet1!B216</f>
        <v>BANDUNG</v>
      </c>
      <c r="C216" t="str">
        <f>Sheet1!C216</f>
        <v>Tb Dimas Dianggara Putra</v>
      </c>
      <c r="D216" t="str">
        <f>Sheet1!D216</f>
        <v>ODRNO2607160033</v>
      </c>
      <c r="E216" t="str">
        <f>Sheet1!E216</f>
        <v>813PRS20260705416</v>
      </c>
      <c r="F216" t="str">
        <f>Sheet1!F216</f>
        <v>Sales Agent (SA)</v>
      </c>
      <c r="G216">
        <f>Sheet1!G216</f>
        <v>0</v>
      </c>
      <c r="H216" t="str">
        <f>Sheet1!H216</f>
        <v>813APP20260700088</v>
      </c>
      <c r="I216" t="str">
        <f>Sheet1!I216</f>
        <v>RISKI DALNI</v>
      </c>
      <c r="J216" s="2">
        <f>Sheet1!K216</f>
        <v>46219.393334722197</v>
      </c>
      <c r="K216" s="2">
        <f>Sheet1!L216</f>
        <v>46220.6993552083</v>
      </c>
      <c r="L216" t="str">
        <f>Sheet1!M216</f>
        <v>Return Handling</v>
      </c>
      <c r="M216" t="str">
        <f>Sheet1!P216</f>
        <v>HONDA</v>
      </c>
      <c r="N216" t="str">
        <f>Sheet1!Q216</f>
        <v>2016</v>
      </c>
      <c r="O216">
        <f>Sheet1!AB216</f>
        <v>0</v>
      </c>
      <c r="P216" s="2">
        <f>Sheet1!AD216</f>
        <v>46220</v>
      </c>
      <c r="Q216" t="str">
        <f>Sheet1!AI216</f>
        <v>AHMAD ZAENI-0626025</v>
      </c>
      <c r="R216" t="str">
        <f>Sheet1!AJ216</f>
        <v/>
      </c>
      <c r="S216" t="str">
        <f>Sheet1!AK216</f>
        <v>In Proses</v>
      </c>
      <c r="T216" t="str">
        <f>Sheet1!AL216</f>
        <v>SA</v>
      </c>
      <c r="U216" t="str">
        <f t="shared" si="3"/>
        <v>Done Survey</v>
      </c>
    </row>
    <row r="217" spans="1:21" x14ac:dyDescent="0.25">
      <c r="A217">
        <f>Sheet1!A217</f>
        <v>216</v>
      </c>
      <c r="B217" t="str">
        <f>Sheet1!B217</f>
        <v>BANDUNG</v>
      </c>
      <c r="C217" t="str">
        <f>Sheet1!C217</f>
        <v>FERISAL NUR WAHID</v>
      </c>
      <c r="D217" t="str">
        <f>Sheet1!D217</f>
        <v>ODRNO2607160072</v>
      </c>
      <c r="E217" t="str">
        <f>Sheet1!E217</f>
        <v>813PRS20260705420</v>
      </c>
      <c r="F217" t="str">
        <f>Sheet1!F217</f>
        <v>Sales Agent (SA)</v>
      </c>
      <c r="G217">
        <f>Sheet1!G217</f>
        <v>0</v>
      </c>
      <c r="H217">
        <f>Sheet1!H217</f>
        <v>0</v>
      </c>
      <c r="I217" t="str">
        <f>Sheet1!I217</f>
        <v>RAMDHAN FIRMANSYAH</v>
      </c>
      <c r="J217" s="2">
        <f>Sheet1!K217</f>
        <v>46219.470948576403</v>
      </c>
      <c r="K217" s="2">
        <f>Sheet1!L217</f>
        <v>46227.333390821797</v>
      </c>
      <c r="L217" t="str">
        <f>Sheet1!M217</f>
        <v>Prospect Cancel</v>
      </c>
      <c r="M217" t="str">
        <f>Sheet1!P217</f>
        <v>SUZUKI</v>
      </c>
      <c r="N217" t="str">
        <f>Sheet1!Q217</f>
        <v>2019</v>
      </c>
      <c r="O217">
        <f>Sheet1!AB217</f>
        <v>0</v>
      </c>
      <c r="P217" s="2">
        <f>Sheet1!AD217</f>
        <v>0</v>
      </c>
      <c r="Q217" t="str">
        <f>Sheet1!AI217</f>
        <v>INDRA PERMANA-426022</v>
      </c>
      <c r="R217" t="str">
        <f>Sheet1!AJ217</f>
        <v/>
      </c>
      <c r="S217" t="str">
        <f>Sheet1!AK217</f>
        <v>Cancel</v>
      </c>
      <c r="T217" t="str">
        <f>Sheet1!AL217</f>
        <v>SA</v>
      </c>
      <c r="U217">
        <f t="shared" si="3"/>
        <v>0</v>
      </c>
    </row>
    <row r="218" spans="1:21" x14ac:dyDescent="0.25">
      <c r="A218">
        <f>Sheet1!A218</f>
        <v>217</v>
      </c>
      <c r="B218" t="str">
        <f>Sheet1!B218</f>
        <v>BANDUNG</v>
      </c>
      <c r="C218" t="str">
        <f>Sheet1!C218</f>
        <v>HERU FIRMANSYAH S HUT</v>
      </c>
      <c r="D218" t="str">
        <f>Sheet1!D218</f>
        <v>ODRNO2607160145</v>
      </c>
      <c r="E218" t="str">
        <f>Sheet1!E218</f>
        <v>813PRS20260705425</v>
      </c>
      <c r="F218" t="str">
        <f>Sheet1!F218</f>
        <v>Sales Agent (SA)</v>
      </c>
      <c r="G218">
        <f>Sheet1!G218</f>
        <v>0</v>
      </c>
      <c r="H218">
        <f>Sheet1!H218</f>
        <v>0</v>
      </c>
      <c r="I218" t="str">
        <f>Sheet1!I218</f>
        <v>RAMDHAN FIRMANSYAH</v>
      </c>
      <c r="J218" s="2">
        <f>Sheet1!K218</f>
        <v>46219.638477511602</v>
      </c>
      <c r="K218" s="2">
        <f>Sheet1!L218</f>
        <v>46227.333390821797</v>
      </c>
      <c r="L218" t="str">
        <f>Sheet1!M218</f>
        <v>Prospect Cancel</v>
      </c>
      <c r="M218" t="str">
        <f>Sheet1!P218</f>
        <v>SUZUKI</v>
      </c>
      <c r="N218" t="str">
        <f>Sheet1!Q218</f>
        <v>2019</v>
      </c>
      <c r="O218">
        <f>Sheet1!AB218</f>
        <v>0</v>
      </c>
      <c r="P218" s="2">
        <f>Sheet1!AD218</f>
        <v>0</v>
      </c>
      <c r="Q218" t="str">
        <f>Sheet1!AI218</f>
        <v>INDRA PERMANA-426022</v>
      </c>
      <c r="R218" t="str">
        <f>Sheet1!AJ218</f>
        <v/>
      </c>
      <c r="S218" t="str">
        <f>Sheet1!AK218</f>
        <v>Cancel</v>
      </c>
      <c r="T218" t="str">
        <f>Sheet1!AL218</f>
        <v>SA</v>
      </c>
      <c r="U218">
        <f t="shared" si="3"/>
        <v>0</v>
      </c>
    </row>
    <row r="219" spans="1:21" x14ac:dyDescent="0.25">
      <c r="A219">
        <f>Sheet1!A219</f>
        <v>218</v>
      </c>
      <c r="B219" t="str">
        <f>Sheet1!B219</f>
        <v>BEKASI</v>
      </c>
      <c r="C219" t="str">
        <f>Sheet1!C219</f>
        <v>TRI RATNASARI</v>
      </c>
      <c r="D219" t="str">
        <f>Sheet1!D219</f>
        <v>ODRNO2607160164</v>
      </c>
      <c r="E219" t="str">
        <f>Sheet1!E219</f>
        <v>811PRS20260704823</v>
      </c>
      <c r="F219" t="str">
        <f>Sheet1!F219</f>
        <v>Sales Agent (SA)</v>
      </c>
      <c r="G219">
        <f>Sheet1!G219</f>
        <v>0</v>
      </c>
      <c r="H219">
        <f>Sheet1!H219</f>
        <v>0</v>
      </c>
      <c r="I219" t="str">
        <f>Sheet1!I219</f>
        <v>KURNIAWAN ARIBOWO</v>
      </c>
      <c r="J219" s="2">
        <f>Sheet1!K219</f>
        <v>46219.686165937499</v>
      </c>
      <c r="K219" s="2">
        <f>Sheet1!L219</f>
        <v>46227.333390821797</v>
      </c>
      <c r="L219" t="str">
        <f>Sheet1!M219</f>
        <v>Prospect Cancel</v>
      </c>
      <c r="M219" t="str">
        <f>Sheet1!P219</f>
        <v>HONDA</v>
      </c>
      <c r="N219" t="str">
        <f>Sheet1!Q219</f>
        <v>2021</v>
      </c>
      <c r="O219">
        <f>Sheet1!AB219</f>
        <v>0</v>
      </c>
      <c r="P219" s="2">
        <f>Sheet1!AD219</f>
        <v>0</v>
      </c>
      <c r="Q219" t="str">
        <f>Sheet1!AI219</f>
        <v>MUHAMAD ILYAS-526007</v>
      </c>
      <c r="R219" t="str">
        <f>Sheet1!AJ219</f>
        <v/>
      </c>
      <c r="S219" t="str">
        <f>Sheet1!AK219</f>
        <v>Cancel</v>
      </c>
      <c r="T219" t="str">
        <f>Sheet1!AL219</f>
        <v>SA</v>
      </c>
      <c r="U219">
        <f t="shared" si="3"/>
        <v>0</v>
      </c>
    </row>
    <row r="220" spans="1:21" x14ac:dyDescent="0.25">
      <c r="A220">
        <f>Sheet1!A220</f>
        <v>219</v>
      </c>
      <c r="B220" t="str">
        <f>Sheet1!B220</f>
        <v>BOGOR</v>
      </c>
      <c r="C220" t="str">
        <f>Sheet1!C220</f>
        <v>asep khoerudin</v>
      </c>
      <c r="D220" t="str">
        <f>Sheet1!D220</f>
        <v>ODRNO2607160161</v>
      </c>
      <c r="E220" t="str">
        <f>Sheet1!E220</f>
        <v>812PRS20260701376</v>
      </c>
      <c r="F220" t="str">
        <f>Sheet1!F220</f>
        <v>Sales Agent (SA)</v>
      </c>
      <c r="G220">
        <f>Sheet1!G220</f>
        <v>0</v>
      </c>
      <c r="H220">
        <f>Sheet1!H220</f>
        <v>0</v>
      </c>
      <c r="I220" t="str">
        <f>Sheet1!I220</f>
        <v>SENJAYA BUDIMAN</v>
      </c>
      <c r="J220" s="2">
        <f>Sheet1!K220</f>
        <v>46219.672631330999</v>
      </c>
      <c r="K220" s="2">
        <f>Sheet1!L220</f>
        <v>46227.333390821797</v>
      </c>
      <c r="L220" t="str">
        <f>Sheet1!M220</f>
        <v>Prospect Cancel</v>
      </c>
      <c r="M220" t="str">
        <f>Sheet1!P220</f>
        <v>HONDA</v>
      </c>
      <c r="N220" t="str">
        <f>Sheet1!Q220</f>
        <v>2016</v>
      </c>
      <c r="O220">
        <f>Sheet1!AB220</f>
        <v>0</v>
      </c>
      <c r="P220" s="2">
        <f>Sheet1!AD220</f>
        <v>0</v>
      </c>
      <c r="Q220" t="str">
        <f>Sheet1!AI220</f>
        <v>IBNU AHMAD-0626013</v>
      </c>
      <c r="R220" t="str">
        <f>Sheet1!AJ220</f>
        <v/>
      </c>
      <c r="S220" t="str">
        <f>Sheet1!AK220</f>
        <v>Cancel</v>
      </c>
      <c r="T220" t="str">
        <f>Sheet1!AL220</f>
        <v>SA</v>
      </c>
      <c r="U220">
        <f t="shared" si="3"/>
        <v>0</v>
      </c>
    </row>
    <row r="221" spans="1:21" x14ac:dyDescent="0.25">
      <c r="A221">
        <f>Sheet1!A221</f>
        <v>220</v>
      </c>
      <c r="B221" t="str">
        <f>Sheet1!B221</f>
        <v>FATMAWATI</v>
      </c>
      <c r="C221" t="str">
        <f>Sheet1!C221</f>
        <v>ANWAR SATYAKRAMA</v>
      </c>
      <c r="D221" t="str">
        <f>Sheet1!D221</f>
        <v>ODRNO2607160148</v>
      </c>
      <c r="E221" t="str">
        <f>Sheet1!E221</f>
        <v>802PRS20260702312</v>
      </c>
      <c r="F221" t="str">
        <f>Sheet1!F221</f>
        <v>Sales Agent (SA)</v>
      </c>
      <c r="G221">
        <f>Sheet1!G221</f>
        <v>0</v>
      </c>
      <c r="H221">
        <f>Sheet1!H221</f>
        <v>0</v>
      </c>
      <c r="I221" t="str">
        <f>Sheet1!I221</f>
        <v>RIZQI APRIANSYAH</v>
      </c>
      <c r="J221" s="2">
        <f>Sheet1!K221</f>
        <v>46219.642693483802</v>
      </c>
      <c r="K221" s="2">
        <f>Sheet1!L221</f>
        <v>46227.333390821797</v>
      </c>
      <c r="L221" t="str">
        <f>Sheet1!M221</f>
        <v>Prospect Cancel</v>
      </c>
      <c r="M221" t="str">
        <f>Sheet1!P221</f>
        <v>TOYOTA</v>
      </c>
      <c r="N221" t="str">
        <f>Sheet1!Q221</f>
        <v>2021</v>
      </c>
      <c r="O221">
        <f>Sheet1!AB221</f>
        <v>0</v>
      </c>
      <c r="P221" s="2">
        <f>Sheet1!AD221</f>
        <v>0</v>
      </c>
      <c r="Q221" t="str">
        <f>Sheet1!AI221</f>
        <v>EDLY RAYMESA-0726045</v>
      </c>
      <c r="R221" t="str">
        <f>Sheet1!AJ221</f>
        <v/>
      </c>
      <c r="S221" t="str">
        <f>Sheet1!AK221</f>
        <v>Cancel</v>
      </c>
      <c r="T221" t="str">
        <f>Sheet1!AL221</f>
        <v>SA</v>
      </c>
      <c r="U221">
        <f t="shared" si="3"/>
        <v>0</v>
      </c>
    </row>
    <row r="222" spans="1:21" x14ac:dyDescent="0.25">
      <c r="A222">
        <f>Sheet1!A222</f>
        <v>221</v>
      </c>
      <c r="B222" t="str">
        <f>Sheet1!B222</f>
        <v>FATMAWATI</v>
      </c>
      <c r="C222" t="str">
        <f>Sheet1!C222</f>
        <v>Yuliana</v>
      </c>
      <c r="D222" t="str">
        <f>Sheet1!D222</f>
        <v>ODRNO2607160177</v>
      </c>
      <c r="E222" t="str">
        <f>Sheet1!E222</f>
        <v>802PRS20260702316</v>
      </c>
      <c r="F222" t="str">
        <f>Sheet1!F222</f>
        <v>Sales Agent (SA)</v>
      </c>
      <c r="G222" t="str">
        <f>Sheet1!G222</f>
        <v>8021022600002</v>
      </c>
      <c r="H222" t="str">
        <f>Sheet1!H222</f>
        <v>802APP20260700061</v>
      </c>
      <c r="I222" t="str">
        <f>Sheet1!I222</f>
        <v>RIZQI APRIANSYAH</v>
      </c>
      <c r="J222" s="2">
        <f>Sheet1!K222</f>
        <v>46219.777838923597</v>
      </c>
      <c r="K222" s="2">
        <f>Sheet1!L222</f>
        <v>46230.863926238402</v>
      </c>
      <c r="L222" t="str">
        <f>Sheet1!M222</f>
        <v>Go Live</v>
      </c>
      <c r="M222" t="str">
        <f>Sheet1!P222</f>
        <v>DAIHATSU</v>
      </c>
      <c r="N222" t="str">
        <f>Sheet1!Q222</f>
        <v>2014</v>
      </c>
      <c r="O222">
        <f>Sheet1!AB222</f>
        <v>26935500</v>
      </c>
      <c r="P222" s="2">
        <f>Sheet1!AD222</f>
        <v>46227</v>
      </c>
      <c r="Q222" t="str">
        <f>Sheet1!AI222</f>
        <v>MUHAMAD FALAHUDDIN AKBAR-0726042</v>
      </c>
      <c r="R222" t="str">
        <f>Sheet1!AJ222</f>
        <v/>
      </c>
      <c r="S222" t="str">
        <f>Sheet1!AK222</f>
        <v>Golive</v>
      </c>
      <c r="T222" t="str">
        <f>Sheet1!AL222</f>
        <v>SA</v>
      </c>
      <c r="U222" t="str">
        <f t="shared" si="3"/>
        <v>Done Survey</v>
      </c>
    </row>
    <row r="223" spans="1:21" x14ac:dyDescent="0.25">
      <c r="A223">
        <f>Sheet1!A223</f>
        <v>222</v>
      </c>
      <c r="B223" t="str">
        <f>Sheet1!B223</f>
        <v>JAMBI</v>
      </c>
      <c r="C223" t="str">
        <f>Sheet1!C223</f>
        <v>NURWATI</v>
      </c>
      <c r="D223" t="str">
        <f>Sheet1!D223</f>
        <v>ODRNO2607160080</v>
      </c>
      <c r="E223" t="str">
        <f>Sheet1!E223</f>
        <v>807PRS20260703015</v>
      </c>
      <c r="F223" t="str">
        <f>Sheet1!F223</f>
        <v>Sales Agent (SA)</v>
      </c>
      <c r="G223">
        <f>Sheet1!G223</f>
        <v>0</v>
      </c>
      <c r="H223">
        <f>Sheet1!H223</f>
        <v>0</v>
      </c>
      <c r="I223" t="str">
        <f>Sheet1!I223</f>
        <v>AGUS SURIADI</v>
      </c>
      <c r="J223" s="2">
        <f>Sheet1!K223</f>
        <v>46219.491051504599</v>
      </c>
      <c r="K223" s="2">
        <f>Sheet1!L223</f>
        <v>46227.333390821797</v>
      </c>
      <c r="L223" t="str">
        <f>Sheet1!M223</f>
        <v>Prospect Cancel</v>
      </c>
      <c r="M223" t="str">
        <f>Sheet1!P223</f>
        <v>MITSUBISHI</v>
      </c>
      <c r="N223" t="str">
        <f>Sheet1!Q223</f>
        <v>2022</v>
      </c>
      <c r="O223">
        <f>Sheet1!AB223</f>
        <v>0</v>
      </c>
      <c r="P223" s="2">
        <f>Sheet1!AD223</f>
        <v>0</v>
      </c>
      <c r="Q223" t="str">
        <f>Sheet1!AI223</f>
        <v>M CHAIRUDINSYAH-126055</v>
      </c>
      <c r="R223" t="str">
        <f>Sheet1!AJ223</f>
        <v/>
      </c>
      <c r="S223" t="str">
        <f>Sheet1!AK223</f>
        <v>Cancel</v>
      </c>
      <c r="T223" t="str">
        <f>Sheet1!AL223</f>
        <v>SA</v>
      </c>
      <c r="U223">
        <f t="shared" si="3"/>
        <v>0</v>
      </c>
    </row>
    <row r="224" spans="1:21" x14ac:dyDescent="0.25">
      <c r="A224">
        <f>Sheet1!A224</f>
        <v>223</v>
      </c>
      <c r="B224" t="str">
        <f>Sheet1!B224</f>
        <v>LAMPUNG</v>
      </c>
      <c r="C224" t="str">
        <f>Sheet1!C224</f>
        <v>made rian adytiawan</v>
      </c>
      <c r="D224" t="str">
        <f>Sheet1!D224</f>
        <v>ODRNO2607160103</v>
      </c>
      <c r="E224" t="str">
        <f>Sheet1!E224</f>
        <v>810PRS20260700718</v>
      </c>
      <c r="F224" t="str">
        <f>Sheet1!F224</f>
        <v>Sales Agent (SA)</v>
      </c>
      <c r="G224">
        <f>Sheet1!G224</f>
        <v>0</v>
      </c>
      <c r="H224">
        <f>Sheet1!H224</f>
        <v>0</v>
      </c>
      <c r="I224" t="str">
        <f>Sheet1!I224</f>
        <v>AZWAN</v>
      </c>
      <c r="J224" s="2">
        <f>Sheet1!K224</f>
        <v>46219.527674074103</v>
      </c>
      <c r="K224" s="2">
        <f>Sheet1!L224</f>
        <v>46227.333390821797</v>
      </c>
      <c r="L224" t="str">
        <f>Sheet1!M224</f>
        <v>Prospect Cancel</v>
      </c>
      <c r="M224" t="str">
        <f>Sheet1!P224</f>
        <v>MITSUBISHI</v>
      </c>
      <c r="N224" t="str">
        <f>Sheet1!Q224</f>
        <v>2018</v>
      </c>
      <c r="O224">
        <f>Sheet1!AB224</f>
        <v>0</v>
      </c>
      <c r="P224" s="2">
        <f>Sheet1!AD224</f>
        <v>0</v>
      </c>
      <c r="Q224" t="str">
        <f>Sheet1!AI224</f>
        <v>CATUR MARDIYANTO-226006</v>
      </c>
      <c r="R224" t="str">
        <f>Sheet1!AJ224</f>
        <v/>
      </c>
      <c r="S224" t="str">
        <f>Sheet1!AK224</f>
        <v>Cancel</v>
      </c>
      <c r="T224" t="str">
        <f>Sheet1!AL224</f>
        <v>SA</v>
      </c>
      <c r="U224">
        <f t="shared" si="3"/>
        <v>0</v>
      </c>
    </row>
    <row r="225" spans="1:21" x14ac:dyDescent="0.25">
      <c r="A225">
        <f>Sheet1!A225</f>
        <v>224</v>
      </c>
      <c r="B225" t="str">
        <f>Sheet1!B225</f>
        <v>MEDAN DUA</v>
      </c>
      <c r="C225" t="str">
        <f>Sheet1!C225</f>
        <v>JUNI RANTI SITOMPUL</v>
      </c>
      <c r="D225" t="str">
        <f>Sheet1!D225</f>
        <v>ODRNO2607160085</v>
      </c>
      <c r="E225" t="str">
        <f>Sheet1!E225</f>
        <v>839PRS20260700944</v>
      </c>
      <c r="F225" t="str">
        <f>Sheet1!F225</f>
        <v>Sales Agent (SA)</v>
      </c>
      <c r="G225">
        <f>Sheet1!G225</f>
        <v>0</v>
      </c>
      <c r="H225">
        <f>Sheet1!H225</f>
        <v>0</v>
      </c>
      <c r="I225" t="str">
        <f>Sheet1!I225</f>
        <v>WASTO SIHOMBING</v>
      </c>
      <c r="J225" s="2">
        <f>Sheet1!K225</f>
        <v>46219.495927280099</v>
      </c>
      <c r="K225" s="2">
        <f>Sheet1!L225</f>
        <v>46219.514012233798</v>
      </c>
      <c r="L225" t="str">
        <f>Sheet1!M225</f>
        <v>Prospect Cancel</v>
      </c>
      <c r="M225" t="str">
        <f>Sheet1!P225</f>
        <v>TOYOTA</v>
      </c>
      <c r="N225" t="str">
        <f>Sheet1!Q225</f>
        <v>2019</v>
      </c>
      <c r="O225">
        <f>Sheet1!AB225</f>
        <v>0</v>
      </c>
      <c r="P225" s="2">
        <f>Sheet1!AD225</f>
        <v>0</v>
      </c>
      <c r="Q225" t="str">
        <f>Sheet1!AI225</f>
        <v>ALEXANDER SIREGAR-126373</v>
      </c>
      <c r="R225" t="str">
        <f>Sheet1!AJ225</f>
        <v/>
      </c>
      <c r="S225" t="str">
        <f>Sheet1!AK225</f>
        <v>Cancel</v>
      </c>
      <c r="T225" t="str">
        <f>Sheet1!AL225</f>
        <v>SA</v>
      </c>
      <c r="U225">
        <f t="shared" si="3"/>
        <v>0</v>
      </c>
    </row>
    <row r="226" spans="1:21" x14ac:dyDescent="0.25">
      <c r="A226">
        <f>Sheet1!A226</f>
        <v>225</v>
      </c>
      <c r="B226" t="str">
        <f>Sheet1!B226</f>
        <v>PEKANBARU</v>
      </c>
      <c r="C226" t="str">
        <f>Sheet1!C226</f>
        <v>WIWIK WIDARSIH MARSA</v>
      </c>
      <c r="D226" t="str">
        <f>Sheet1!D226</f>
        <v>ODRNO2607160160</v>
      </c>
      <c r="E226" t="str">
        <f>Sheet1!E226</f>
        <v>805PRS20260702662</v>
      </c>
      <c r="F226" t="str">
        <f>Sheet1!F226</f>
        <v>LandingPage</v>
      </c>
      <c r="G226">
        <f>Sheet1!G226</f>
        <v>0</v>
      </c>
      <c r="H226">
        <f>Sheet1!H226</f>
        <v>0</v>
      </c>
      <c r="I226" t="str">
        <f>Sheet1!I226</f>
        <v>MUHAMMAD RIDWAN</v>
      </c>
      <c r="J226" s="2">
        <f>Sheet1!K226</f>
        <v>46219.670587928202</v>
      </c>
      <c r="K226" s="2">
        <f>Sheet1!L226</f>
        <v>46220.422581597202</v>
      </c>
      <c r="L226" t="str">
        <f>Sheet1!M226</f>
        <v>Prospect Cancel</v>
      </c>
      <c r="M226" t="str">
        <f>Sheet1!P226</f>
        <v>MITSUBISHI</v>
      </c>
      <c r="N226" t="str">
        <f>Sheet1!Q226</f>
        <v>2012</v>
      </c>
      <c r="O226">
        <f>Sheet1!AB226</f>
        <v>0</v>
      </c>
      <c r="P226" s="2">
        <f>Sheet1!AD226</f>
        <v>0</v>
      </c>
      <c r="Q226">
        <f>Sheet1!AI226</f>
        <v>0</v>
      </c>
      <c r="R226">
        <f>Sheet1!AJ226</f>
        <v>0</v>
      </c>
      <c r="S226" t="str">
        <f>Sheet1!AK226</f>
        <v>Cancel</v>
      </c>
      <c r="T226" t="str">
        <f>Sheet1!AL226</f>
        <v>SA</v>
      </c>
      <c r="U226">
        <f t="shared" si="3"/>
        <v>0</v>
      </c>
    </row>
    <row r="227" spans="1:21" x14ac:dyDescent="0.25">
      <c r="A227">
        <f>Sheet1!A227</f>
        <v>226</v>
      </c>
      <c r="B227" t="str">
        <f>Sheet1!B227</f>
        <v>SURABAYA SATU</v>
      </c>
      <c r="C227" t="str">
        <f>Sheet1!C227</f>
        <v>farizy al fikri</v>
      </c>
      <c r="D227" t="str">
        <f>Sheet1!D227</f>
        <v>ODRNO2607160043</v>
      </c>
      <c r="E227" t="str">
        <f>Sheet1!E227</f>
        <v>819PRS20260701029</v>
      </c>
      <c r="F227" t="str">
        <f>Sheet1!F227</f>
        <v>Sales Agent (SA)</v>
      </c>
      <c r="G227" t="str">
        <f>Sheet1!G227</f>
        <v>8191022600011</v>
      </c>
      <c r="H227" t="str">
        <f>Sheet1!H227</f>
        <v>819APP20260700018</v>
      </c>
      <c r="I227" t="str">
        <f>Sheet1!I227</f>
        <v>PONDRA PUJIONO</v>
      </c>
      <c r="J227" s="2">
        <f>Sheet1!K227</f>
        <v>46219.408701539403</v>
      </c>
      <c r="K227" s="2">
        <f>Sheet1!L227</f>
        <v>46220.573412731501</v>
      </c>
      <c r="L227" t="str">
        <f>Sheet1!M227</f>
        <v>Go Live</v>
      </c>
      <c r="M227" t="str">
        <f>Sheet1!P227</f>
        <v>TOYOTA</v>
      </c>
      <c r="N227" t="str">
        <f>Sheet1!Q227</f>
        <v>2016</v>
      </c>
      <c r="O227">
        <f>Sheet1!AB227</f>
        <v>76291000</v>
      </c>
      <c r="P227" s="2">
        <f>Sheet1!AD227</f>
        <v>46219</v>
      </c>
      <c r="Q227" t="str">
        <f>Sheet1!AI227</f>
        <v>SARANITA KENCANA SARI-126043</v>
      </c>
      <c r="R227" t="str">
        <f>Sheet1!AJ227</f>
        <v/>
      </c>
      <c r="S227" t="str">
        <f>Sheet1!AK227</f>
        <v>Golive</v>
      </c>
      <c r="T227" t="str">
        <f>Sheet1!AL227</f>
        <v>SA</v>
      </c>
      <c r="U227" t="str">
        <f t="shared" si="3"/>
        <v>Done Survey</v>
      </c>
    </row>
    <row r="228" spans="1:21" x14ac:dyDescent="0.25">
      <c r="A228">
        <f>Sheet1!A228</f>
        <v>227</v>
      </c>
      <c r="B228" t="str">
        <f>Sheet1!B228</f>
        <v>ALAM SUTERA</v>
      </c>
      <c r="C228" t="str">
        <f>Sheet1!C228</f>
        <v>TYASTIKA NOVIANTI</v>
      </c>
      <c r="D228" t="str">
        <f>Sheet1!D228</f>
        <v>ODRNO2607170142</v>
      </c>
      <c r="E228" t="str">
        <f>Sheet1!E228</f>
        <v>838PRS20260702579</v>
      </c>
      <c r="F228" t="str">
        <f>Sheet1!F228</f>
        <v>Sales Agent (SA)</v>
      </c>
      <c r="G228">
        <f>Sheet1!G228</f>
        <v>0</v>
      </c>
      <c r="H228">
        <f>Sheet1!H228</f>
        <v>0</v>
      </c>
      <c r="I228" t="str">
        <f>Sheet1!I228</f>
        <v>IBRAHIM AZIZ</v>
      </c>
      <c r="J228" s="2">
        <f>Sheet1!K228</f>
        <v>46220.588547372703</v>
      </c>
      <c r="K228" s="2">
        <f>Sheet1!L228</f>
        <v>46220.604245601899</v>
      </c>
      <c r="L228" t="str">
        <f>Sheet1!M228</f>
        <v>Prospect Cancel</v>
      </c>
      <c r="M228" t="str">
        <f>Sheet1!P228</f>
        <v>DAIHATSU</v>
      </c>
      <c r="N228" t="str">
        <f>Sheet1!Q228</f>
        <v>2019</v>
      </c>
      <c r="O228">
        <f>Sheet1!AB228</f>
        <v>0</v>
      </c>
      <c r="P228" s="2">
        <f>Sheet1!AD228</f>
        <v>0</v>
      </c>
      <c r="Q228" t="str">
        <f>Sheet1!AI228</f>
        <v>APRILLIA ANGGRAENI-126005</v>
      </c>
      <c r="R228" t="str">
        <f>Sheet1!AJ228</f>
        <v/>
      </c>
      <c r="S228" t="str">
        <f>Sheet1!AK228</f>
        <v>Cancel</v>
      </c>
      <c r="T228" t="str">
        <f>Sheet1!AL228</f>
        <v>SA</v>
      </c>
      <c r="U228">
        <f t="shared" si="3"/>
        <v>0</v>
      </c>
    </row>
    <row r="229" spans="1:21" x14ac:dyDescent="0.25">
      <c r="A229">
        <f>Sheet1!A229</f>
        <v>228</v>
      </c>
      <c r="B229" t="str">
        <f>Sheet1!B229</f>
        <v>ALAM SUTERA</v>
      </c>
      <c r="C229" t="str">
        <f>Sheet1!C229</f>
        <v>LUNA NUR ARDHILLA</v>
      </c>
      <c r="D229" t="str">
        <f>Sheet1!D229</f>
        <v>ODRNO2607170143</v>
      </c>
      <c r="E229" t="str">
        <f>Sheet1!E229</f>
        <v>838PRS20260702580</v>
      </c>
      <c r="F229" t="str">
        <f>Sheet1!F229</f>
        <v>Sales Agent (SA)</v>
      </c>
      <c r="G229">
        <f>Sheet1!G229</f>
        <v>0</v>
      </c>
      <c r="H229">
        <f>Sheet1!H229</f>
        <v>0</v>
      </c>
      <c r="I229" t="str">
        <f>Sheet1!I229</f>
        <v>IBRAHIM AZIZ</v>
      </c>
      <c r="J229" s="2">
        <f>Sheet1!K229</f>
        <v>46220.595116354198</v>
      </c>
      <c r="K229" s="2">
        <f>Sheet1!L229</f>
        <v>46228.333392511602</v>
      </c>
      <c r="L229" t="str">
        <f>Sheet1!M229</f>
        <v>Prospect Cancel</v>
      </c>
      <c r="M229" t="str">
        <f>Sheet1!P229</f>
        <v>MAZDA</v>
      </c>
      <c r="N229" t="str">
        <f>Sheet1!Q229</f>
        <v>2013</v>
      </c>
      <c r="O229">
        <f>Sheet1!AB229</f>
        <v>0</v>
      </c>
      <c r="P229" s="2">
        <f>Sheet1!AD229</f>
        <v>0</v>
      </c>
      <c r="Q229" t="str">
        <f>Sheet1!AI229</f>
        <v>DEDE SURYADI-126003</v>
      </c>
      <c r="R229" t="str">
        <f>Sheet1!AJ229</f>
        <v/>
      </c>
      <c r="S229" t="str">
        <f>Sheet1!AK229</f>
        <v>Cancel</v>
      </c>
      <c r="T229" t="str">
        <f>Sheet1!AL229</f>
        <v>SA</v>
      </c>
      <c r="U229">
        <f t="shared" si="3"/>
        <v>0</v>
      </c>
    </row>
    <row r="230" spans="1:21" x14ac:dyDescent="0.25">
      <c r="A230">
        <f>Sheet1!A230</f>
        <v>229</v>
      </c>
      <c r="B230" t="str">
        <f>Sheet1!B230</f>
        <v>ALAM SUTERA</v>
      </c>
      <c r="C230" t="str">
        <f>Sheet1!C230</f>
        <v>BENI WIJAYA</v>
      </c>
      <c r="D230" t="str">
        <f>Sheet1!D230</f>
        <v>ODRNO2607170145</v>
      </c>
      <c r="E230" t="str">
        <f>Sheet1!E230</f>
        <v>838PRS20260702581</v>
      </c>
      <c r="F230" t="str">
        <f>Sheet1!F230</f>
        <v>Sales Agent (SA)</v>
      </c>
      <c r="G230">
        <f>Sheet1!G230</f>
        <v>0</v>
      </c>
      <c r="H230">
        <f>Sheet1!H230</f>
        <v>0</v>
      </c>
      <c r="I230" t="str">
        <f>Sheet1!I230</f>
        <v>IBRAHIM AZIZ</v>
      </c>
      <c r="J230" s="2">
        <f>Sheet1!K230</f>
        <v>46220.599752928203</v>
      </c>
      <c r="K230" s="2">
        <f>Sheet1!L230</f>
        <v>46228.333392511602</v>
      </c>
      <c r="L230" t="str">
        <f>Sheet1!M230</f>
        <v>Prospect Cancel</v>
      </c>
      <c r="M230" t="str">
        <f>Sheet1!P230</f>
        <v>HONDA</v>
      </c>
      <c r="N230" t="str">
        <f>Sheet1!Q230</f>
        <v>2018</v>
      </c>
      <c r="O230">
        <f>Sheet1!AB230</f>
        <v>0</v>
      </c>
      <c r="P230" s="2">
        <f>Sheet1!AD230</f>
        <v>0</v>
      </c>
      <c r="Q230" t="str">
        <f>Sheet1!AI230</f>
        <v>DEDE SURYADI-126003</v>
      </c>
      <c r="R230" t="str">
        <f>Sheet1!AJ230</f>
        <v/>
      </c>
      <c r="S230" t="str">
        <f>Sheet1!AK230</f>
        <v>Cancel</v>
      </c>
      <c r="T230" t="str">
        <f>Sheet1!AL230</f>
        <v>SA</v>
      </c>
      <c r="U230">
        <f t="shared" si="3"/>
        <v>0</v>
      </c>
    </row>
    <row r="231" spans="1:21" x14ac:dyDescent="0.25">
      <c r="A231">
        <f>Sheet1!A231</f>
        <v>230</v>
      </c>
      <c r="B231" t="str">
        <f>Sheet1!B231</f>
        <v>BALIKPAPAN</v>
      </c>
      <c r="C231" t="str">
        <f>Sheet1!C231</f>
        <v>PIETER SALIM</v>
      </c>
      <c r="D231" t="str">
        <f>Sheet1!D231</f>
        <v>ODRNO2607170076</v>
      </c>
      <c r="E231" t="str">
        <f>Sheet1!E231</f>
        <v>824PRS20260700709</v>
      </c>
      <c r="F231" t="str">
        <f>Sheet1!F231</f>
        <v>Telemarketing Program</v>
      </c>
      <c r="G231" t="str">
        <f>Sheet1!G231</f>
        <v>8241032600006</v>
      </c>
      <c r="H231" t="str">
        <f>Sheet1!H231</f>
        <v>824APP20260700024</v>
      </c>
      <c r="I231" t="str">
        <f>Sheet1!I231</f>
        <v>JOSUA TARIGAN</v>
      </c>
      <c r="J231" s="2">
        <f>Sheet1!K231</f>
        <v>46220.452597222204</v>
      </c>
      <c r="K231" s="2">
        <f>Sheet1!L231</f>
        <v>46228.5720250347</v>
      </c>
      <c r="L231" t="str">
        <f>Sheet1!M231</f>
        <v>Go Live</v>
      </c>
      <c r="M231" t="str">
        <f>Sheet1!P231</f>
        <v>MITSUBISHI</v>
      </c>
      <c r="N231" t="str">
        <f>Sheet1!Q231</f>
        <v>2020</v>
      </c>
      <c r="O231">
        <f>Sheet1!AB231</f>
        <v>191071360</v>
      </c>
      <c r="P231" s="2">
        <f>Sheet1!AD231</f>
        <v>46226</v>
      </c>
      <c r="Q231">
        <f>Sheet1!AI231</f>
        <v>0</v>
      </c>
      <c r="R231">
        <f>Sheet1!AJ231</f>
        <v>0</v>
      </c>
      <c r="S231" t="str">
        <f>Sheet1!AK231</f>
        <v>Golive</v>
      </c>
      <c r="T231" t="str">
        <f>Sheet1!AL231</f>
        <v>Tele</v>
      </c>
      <c r="U231" t="str">
        <f t="shared" si="3"/>
        <v>Done Survey</v>
      </c>
    </row>
    <row r="232" spans="1:21" x14ac:dyDescent="0.25">
      <c r="A232">
        <f>Sheet1!A232</f>
        <v>231</v>
      </c>
      <c r="B232" t="str">
        <f>Sheet1!B232</f>
        <v>BANDUNG</v>
      </c>
      <c r="C232" t="str">
        <f>Sheet1!C232</f>
        <v>ATA</v>
      </c>
      <c r="D232" t="str">
        <f>Sheet1!D232</f>
        <v>ODRNO2607170184</v>
      </c>
      <c r="E232" t="str">
        <f>Sheet1!E232</f>
        <v>813PRS20260705446</v>
      </c>
      <c r="F232" t="str">
        <f>Sheet1!F232</f>
        <v>Sales Agent (SA)</v>
      </c>
      <c r="G232">
        <f>Sheet1!G232</f>
        <v>0</v>
      </c>
      <c r="H232">
        <f>Sheet1!H232</f>
        <v>0</v>
      </c>
      <c r="I232" t="str">
        <f>Sheet1!I232</f>
        <v>RAMDHAN FIRMANSYAH</v>
      </c>
      <c r="J232" s="2">
        <f>Sheet1!K232</f>
        <v>46220.676864548601</v>
      </c>
      <c r="K232" s="2">
        <f>Sheet1!L232</f>
        <v>46228.333392511602</v>
      </c>
      <c r="L232" t="str">
        <f>Sheet1!M232</f>
        <v>Prospect Cancel</v>
      </c>
      <c r="M232" t="str">
        <f>Sheet1!P232</f>
        <v>DAIHATSU</v>
      </c>
      <c r="N232" t="str">
        <f>Sheet1!Q232</f>
        <v>2016</v>
      </c>
      <c r="O232">
        <f>Sheet1!AB232</f>
        <v>0</v>
      </c>
      <c r="P232" s="2">
        <f>Sheet1!AD232</f>
        <v>0</v>
      </c>
      <c r="Q232" t="str">
        <f>Sheet1!AI232</f>
        <v>AGUNG WIBOWO-226216</v>
      </c>
      <c r="R232" t="str">
        <f>Sheet1!AJ232</f>
        <v/>
      </c>
      <c r="S232" t="str">
        <f>Sheet1!AK232</f>
        <v>Cancel</v>
      </c>
      <c r="T232" t="str">
        <f>Sheet1!AL232</f>
        <v>SA</v>
      </c>
      <c r="U232">
        <f t="shared" si="3"/>
        <v>0</v>
      </c>
    </row>
    <row r="233" spans="1:21" x14ac:dyDescent="0.25">
      <c r="A233">
        <f>Sheet1!A233</f>
        <v>232</v>
      </c>
      <c r="B233" t="str">
        <f>Sheet1!B233</f>
        <v>BOGOR</v>
      </c>
      <c r="C233" t="str">
        <f>Sheet1!C233</f>
        <v>BAYU SEPTIA</v>
      </c>
      <c r="D233" t="str">
        <f>Sheet1!D233</f>
        <v>ODRNO2607170168</v>
      </c>
      <c r="E233" t="str">
        <f>Sheet1!E233</f>
        <v>812PRS20260701384</v>
      </c>
      <c r="F233" t="str">
        <f>Sheet1!F233</f>
        <v>Sales Agent (SA)</v>
      </c>
      <c r="G233">
        <f>Sheet1!G233</f>
        <v>0</v>
      </c>
      <c r="H233" t="str">
        <f>Sheet1!H233</f>
        <v>812APP20260700032</v>
      </c>
      <c r="I233" t="str">
        <f>Sheet1!I233</f>
        <v>EKA SUNARYO</v>
      </c>
      <c r="J233" s="2">
        <f>Sheet1!K233</f>
        <v>46220.641760335602</v>
      </c>
      <c r="K233" s="2">
        <f>Sheet1!L233</f>
        <v>46228.910550080996</v>
      </c>
      <c r="L233" t="str">
        <f>Sheet1!M233</f>
        <v>Return Handling</v>
      </c>
      <c r="M233" t="str">
        <f>Sheet1!P233</f>
        <v>TOYOTA</v>
      </c>
      <c r="N233" t="str">
        <f>Sheet1!Q233</f>
        <v>2014</v>
      </c>
      <c r="O233">
        <f>Sheet1!AB233</f>
        <v>0</v>
      </c>
      <c r="P233" s="2">
        <f>Sheet1!AD233</f>
        <v>46226</v>
      </c>
      <c r="Q233" t="str">
        <f>Sheet1!AI233</f>
        <v>ANASTASIA DWI LARASATI-226145</v>
      </c>
      <c r="R233" t="str">
        <f>Sheet1!AJ233</f>
        <v/>
      </c>
      <c r="S233" t="str">
        <f>Sheet1!AK233</f>
        <v>In Proses</v>
      </c>
      <c r="T233" t="str">
        <f>Sheet1!AL233</f>
        <v>SA</v>
      </c>
      <c r="U233" t="str">
        <f t="shared" si="3"/>
        <v>Done Survey</v>
      </c>
    </row>
    <row r="234" spans="1:21" x14ac:dyDescent="0.25">
      <c r="A234">
        <f>Sheet1!A234</f>
        <v>233</v>
      </c>
      <c r="B234" t="str">
        <f>Sheet1!B234</f>
        <v>FATMAWATI</v>
      </c>
      <c r="C234" t="str">
        <f>Sheet1!C234</f>
        <v>ELVIN TRIPUTRA</v>
      </c>
      <c r="D234" t="str">
        <f>Sheet1!D234</f>
        <v>ODRNO2607170178</v>
      </c>
      <c r="E234" t="str">
        <f>Sheet1!E234</f>
        <v>802PRS20260702329</v>
      </c>
      <c r="F234" t="str">
        <f>Sheet1!F234</f>
        <v>Sales Agent (SA)</v>
      </c>
      <c r="G234" t="str">
        <f>Sheet1!G234</f>
        <v>8021032600003</v>
      </c>
      <c r="H234" t="str">
        <f>Sheet1!H234</f>
        <v>802APP20260700054</v>
      </c>
      <c r="I234" t="str">
        <f>Sheet1!I234</f>
        <v>RIZQI APRIANSYAH</v>
      </c>
      <c r="J234" s="2">
        <f>Sheet1!K234</f>
        <v>46220.662342048599</v>
      </c>
      <c r="K234" s="2">
        <f>Sheet1!L234</f>
        <v>46224.584322835603</v>
      </c>
      <c r="L234" t="str">
        <f>Sheet1!M234</f>
        <v>Go Live</v>
      </c>
      <c r="M234" t="str">
        <f>Sheet1!P234</f>
        <v>BYD</v>
      </c>
      <c r="N234" t="str">
        <f>Sheet1!Q234</f>
        <v>2024</v>
      </c>
      <c r="O234">
        <f>Sheet1!AB234</f>
        <v>110784000</v>
      </c>
      <c r="P234" s="2">
        <f>Sheet1!AD234</f>
        <v>46223</v>
      </c>
      <c r="Q234" t="str">
        <f>Sheet1!AI234</f>
        <v>ASEP RUSLI HIDAYAT M-0726018</v>
      </c>
      <c r="R234" t="str">
        <f>Sheet1!AJ234</f>
        <v/>
      </c>
      <c r="S234" t="str">
        <f>Sheet1!AK234</f>
        <v>Golive</v>
      </c>
      <c r="T234" t="str">
        <f>Sheet1!AL234</f>
        <v>SA</v>
      </c>
      <c r="U234" t="str">
        <f t="shared" si="3"/>
        <v>Done Survey</v>
      </c>
    </row>
    <row r="235" spans="1:21" x14ac:dyDescent="0.25">
      <c r="A235">
        <f>Sheet1!A235</f>
        <v>234</v>
      </c>
      <c r="B235" t="str">
        <f>Sheet1!B235</f>
        <v>KEMAYORAN</v>
      </c>
      <c r="C235" t="str">
        <f>Sheet1!C235</f>
        <v>deni</v>
      </c>
      <c r="D235" t="str">
        <f>Sheet1!D235</f>
        <v>ODRNO2607170153</v>
      </c>
      <c r="E235" t="str">
        <f>Sheet1!E235</f>
        <v>801PRS20260700917</v>
      </c>
      <c r="F235" t="str">
        <f>Sheet1!F235</f>
        <v>Sales Agent (SA)</v>
      </c>
      <c r="G235">
        <f>Sheet1!G235</f>
        <v>0</v>
      </c>
      <c r="H235">
        <f>Sheet1!H235</f>
        <v>0</v>
      </c>
      <c r="I235" t="str">
        <f>Sheet1!I235</f>
        <v>MUHAMMAD RIZQY KEMAL</v>
      </c>
      <c r="J235" s="2">
        <f>Sheet1!K235</f>
        <v>46220.6159297454</v>
      </c>
      <c r="K235" s="2">
        <f>Sheet1!L235</f>
        <v>46228.333392511602</v>
      </c>
      <c r="L235" t="str">
        <f>Sheet1!M235</f>
        <v>Prospect Cancel</v>
      </c>
      <c r="M235" t="str">
        <f>Sheet1!P235</f>
        <v>HONDA</v>
      </c>
      <c r="N235" t="str">
        <f>Sheet1!Q235</f>
        <v>2020</v>
      </c>
      <c r="O235">
        <f>Sheet1!AB235</f>
        <v>0</v>
      </c>
      <c r="P235" s="2">
        <f>Sheet1!AD235</f>
        <v>0</v>
      </c>
      <c r="Q235" t="str">
        <f>Sheet1!AI235</f>
        <v>MUHAMMAD ASLAMI DHUHA FALEYRI-0626003</v>
      </c>
      <c r="R235" t="str">
        <f>Sheet1!AJ235</f>
        <v/>
      </c>
      <c r="S235" t="str">
        <f>Sheet1!AK235</f>
        <v>Cancel</v>
      </c>
      <c r="T235" t="str">
        <f>Sheet1!AL235</f>
        <v>SA</v>
      </c>
      <c r="U235">
        <f t="shared" si="3"/>
        <v>0</v>
      </c>
    </row>
    <row r="236" spans="1:21" x14ac:dyDescent="0.25">
      <c r="A236">
        <f>Sheet1!A236</f>
        <v>235</v>
      </c>
      <c r="B236" t="str">
        <f>Sheet1!B236</f>
        <v>KEMAYORAN</v>
      </c>
      <c r="C236" t="str">
        <f>Sheet1!C236</f>
        <v>Mochammad Guntur Nugraha</v>
      </c>
      <c r="D236" t="str">
        <f>Sheet1!D236</f>
        <v>ODRNO2607170182</v>
      </c>
      <c r="E236" t="str">
        <f>Sheet1!E236</f>
        <v>801PRS20260700918</v>
      </c>
      <c r="F236" t="str">
        <f>Sheet1!F236</f>
        <v>Sales Agent (SA)</v>
      </c>
      <c r="G236">
        <f>Sheet1!G236</f>
        <v>0</v>
      </c>
      <c r="H236">
        <f>Sheet1!H236</f>
        <v>0</v>
      </c>
      <c r="I236" t="str">
        <f>Sheet1!I236</f>
        <v>MUHAMMAD RIZQY KEMAL</v>
      </c>
      <c r="J236" s="2">
        <f>Sheet1!K236</f>
        <v>46220.670994641201</v>
      </c>
      <c r="K236" s="2">
        <f>Sheet1!L236</f>
        <v>46228.333392511602</v>
      </c>
      <c r="L236" t="str">
        <f>Sheet1!M236</f>
        <v>Prospect Cancel</v>
      </c>
      <c r="M236" t="str">
        <f>Sheet1!P236</f>
        <v>DAIHATSU</v>
      </c>
      <c r="N236" t="str">
        <f>Sheet1!Q236</f>
        <v>2022</v>
      </c>
      <c r="O236">
        <f>Sheet1!AB236</f>
        <v>0</v>
      </c>
      <c r="P236" s="2">
        <f>Sheet1!AD236</f>
        <v>0</v>
      </c>
      <c r="Q236" t="str">
        <f>Sheet1!AI236</f>
        <v>MUHAMMAD ASLAMI DHUHA FALEYRI-0626003</v>
      </c>
      <c r="R236" t="str">
        <f>Sheet1!AJ236</f>
        <v/>
      </c>
      <c r="S236" t="str">
        <f>Sheet1!AK236</f>
        <v>Cancel</v>
      </c>
      <c r="T236" t="str">
        <f>Sheet1!AL236</f>
        <v>SA</v>
      </c>
      <c r="U236">
        <f t="shared" si="3"/>
        <v>0</v>
      </c>
    </row>
    <row r="237" spans="1:21" x14ac:dyDescent="0.25">
      <c r="A237">
        <f>Sheet1!A237</f>
        <v>236</v>
      </c>
      <c r="B237" t="str">
        <f>Sheet1!B237</f>
        <v>LAMPUNG</v>
      </c>
      <c r="C237" t="str">
        <f>Sheet1!C237</f>
        <v>yumi</v>
      </c>
      <c r="D237" t="str">
        <f>Sheet1!D237</f>
        <v>ODRNO2607170172</v>
      </c>
      <c r="E237" t="str">
        <f>Sheet1!E237</f>
        <v>810PRS20260700720</v>
      </c>
      <c r="F237" t="str">
        <f>Sheet1!F237</f>
        <v>Sales Agent (SA)</v>
      </c>
      <c r="G237">
        <f>Sheet1!G237</f>
        <v>0</v>
      </c>
      <c r="H237">
        <f>Sheet1!H237</f>
        <v>0</v>
      </c>
      <c r="I237" t="str">
        <f>Sheet1!I237</f>
        <v>AZWAN</v>
      </c>
      <c r="J237" s="2">
        <f>Sheet1!K237</f>
        <v>46220.654387037001</v>
      </c>
      <c r="K237" s="2">
        <f>Sheet1!L237</f>
        <v>46220.666741122703</v>
      </c>
      <c r="L237" t="str">
        <f>Sheet1!M237</f>
        <v>Prospect Cancel</v>
      </c>
      <c r="M237" t="str">
        <f>Sheet1!P237</f>
        <v>TOYOTA</v>
      </c>
      <c r="N237" t="str">
        <f>Sheet1!Q237</f>
        <v>2020</v>
      </c>
      <c r="O237">
        <f>Sheet1!AB237</f>
        <v>0</v>
      </c>
      <c r="P237" s="2">
        <f>Sheet1!AD237</f>
        <v>0</v>
      </c>
      <c r="Q237" t="str">
        <f>Sheet1!AI237</f>
        <v>BADILLAH NUR YUNUS-126123</v>
      </c>
      <c r="R237" t="str">
        <f>Sheet1!AJ237</f>
        <v/>
      </c>
      <c r="S237" t="str">
        <f>Sheet1!AK237</f>
        <v>Cancel</v>
      </c>
      <c r="T237" t="str">
        <f>Sheet1!AL237</f>
        <v>SA</v>
      </c>
      <c r="U237">
        <f t="shared" si="3"/>
        <v>0</v>
      </c>
    </row>
    <row r="238" spans="1:21" x14ac:dyDescent="0.25">
      <c r="A238">
        <f>Sheet1!A238</f>
        <v>237</v>
      </c>
      <c r="B238" t="str">
        <f>Sheet1!B238</f>
        <v>MEDAN DUA</v>
      </c>
      <c r="C238" t="str">
        <f>Sheet1!C238</f>
        <v>SURYA RISKI SIREGAR</v>
      </c>
      <c r="D238" t="str">
        <f>Sheet1!D238</f>
        <v>ODRNO2607170136</v>
      </c>
      <c r="E238" t="str">
        <f>Sheet1!E238</f>
        <v>839PRS20260700948</v>
      </c>
      <c r="F238" t="str">
        <f>Sheet1!F238</f>
        <v>Sales Agent (SA)</v>
      </c>
      <c r="G238">
        <f>Sheet1!G238</f>
        <v>0</v>
      </c>
      <c r="H238">
        <f>Sheet1!H238</f>
        <v>0</v>
      </c>
      <c r="I238" t="str">
        <f>Sheet1!I238</f>
        <v>WASTO SIHOMBING</v>
      </c>
      <c r="J238" s="2">
        <f>Sheet1!K238</f>
        <v>46220.577207986098</v>
      </c>
      <c r="K238" s="2">
        <f>Sheet1!L238</f>
        <v>46220.583425115699</v>
      </c>
      <c r="L238" t="str">
        <f>Sheet1!M238</f>
        <v>Prospect Cancel</v>
      </c>
      <c r="M238" t="str">
        <f>Sheet1!P238</f>
        <v>TOYOTA</v>
      </c>
      <c r="N238" t="str">
        <f>Sheet1!Q238</f>
        <v>2019</v>
      </c>
      <c r="O238">
        <f>Sheet1!AB238</f>
        <v>0</v>
      </c>
      <c r="P238" s="2">
        <f>Sheet1!AD238</f>
        <v>0</v>
      </c>
      <c r="Q238" t="str">
        <f>Sheet1!AI238</f>
        <v>ALEXANDER SIREGAR-126373</v>
      </c>
      <c r="R238" t="str">
        <f>Sheet1!AJ238</f>
        <v/>
      </c>
      <c r="S238" t="str">
        <f>Sheet1!AK238</f>
        <v>Cancel</v>
      </c>
      <c r="T238" t="str">
        <f>Sheet1!AL238</f>
        <v>SA</v>
      </c>
      <c r="U238">
        <f t="shared" si="3"/>
        <v>0</v>
      </c>
    </row>
    <row r="239" spans="1:21" x14ac:dyDescent="0.25">
      <c r="A239">
        <f>Sheet1!A239</f>
        <v>238</v>
      </c>
      <c r="B239" t="str">
        <f>Sheet1!B239</f>
        <v>MEDAN DUA</v>
      </c>
      <c r="C239" t="str">
        <f>Sheet1!C239</f>
        <v>JIHAN MUTIARA FINKAN</v>
      </c>
      <c r="D239" t="str">
        <f>Sheet1!D239</f>
        <v>ODRNO2607170167</v>
      </c>
      <c r="E239" t="str">
        <f>Sheet1!E239</f>
        <v>839PRS20260700951</v>
      </c>
      <c r="F239" t="str">
        <f>Sheet1!F239</f>
        <v>Sales Agent (SA)</v>
      </c>
      <c r="G239">
        <f>Sheet1!G239</f>
        <v>0</v>
      </c>
      <c r="H239">
        <f>Sheet1!H239</f>
        <v>0</v>
      </c>
      <c r="I239" t="str">
        <f>Sheet1!I239</f>
        <v>WASTO SIHOMBING</v>
      </c>
      <c r="J239" s="2">
        <f>Sheet1!K239</f>
        <v>46220.640060682897</v>
      </c>
      <c r="K239" s="2">
        <f>Sheet1!L239</f>
        <v>46228.333392511602</v>
      </c>
      <c r="L239" t="str">
        <f>Sheet1!M239</f>
        <v>Prospect Cancel</v>
      </c>
      <c r="M239" t="str">
        <f>Sheet1!P239</f>
        <v>TOYOTA</v>
      </c>
      <c r="N239" t="str">
        <f>Sheet1!Q239</f>
        <v>2019</v>
      </c>
      <c r="O239">
        <f>Sheet1!AB239</f>
        <v>0</v>
      </c>
      <c r="P239" s="2">
        <f>Sheet1!AD239</f>
        <v>0</v>
      </c>
      <c r="Q239" t="str">
        <f>Sheet1!AI239</f>
        <v>ALEXANDER SIREGAR-126373</v>
      </c>
      <c r="R239" t="str">
        <f>Sheet1!AJ239</f>
        <v/>
      </c>
      <c r="S239" t="str">
        <f>Sheet1!AK239</f>
        <v>Cancel</v>
      </c>
      <c r="T239" t="str">
        <f>Sheet1!AL239</f>
        <v>SA</v>
      </c>
      <c r="U239">
        <f t="shared" si="3"/>
        <v>0</v>
      </c>
    </row>
    <row r="240" spans="1:21" x14ac:dyDescent="0.25">
      <c r="A240">
        <f>Sheet1!A240</f>
        <v>239</v>
      </c>
      <c r="B240" t="str">
        <f>Sheet1!B240</f>
        <v>SURABAYA SATU</v>
      </c>
      <c r="C240" t="str">
        <f>Sheet1!C240</f>
        <v xml:space="preserve">syukron agus </v>
      </c>
      <c r="D240" t="str">
        <f>Sheet1!D240</f>
        <v>ODRNO2607170079</v>
      </c>
      <c r="E240" t="str">
        <f>Sheet1!E240</f>
        <v>819PRS20260701033</v>
      </c>
      <c r="F240" t="str">
        <f>Sheet1!F240</f>
        <v>Sales Agent (SA)</v>
      </c>
      <c r="G240" t="str">
        <f>Sheet1!G240</f>
        <v>8191022600012</v>
      </c>
      <c r="H240" t="str">
        <f>Sheet1!H240</f>
        <v>819APP20260700024</v>
      </c>
      <c r="I240" t="str">
        <f>Sheet1!I240</f>
        <v>PONDRA PUJIONO</v>
      </c>
      <c r="J240" s="2">
        <f>Sheet1!K240</f>
        <v>46220.459141319399</v>
      </c>
      <c r="K240" s="2">
        <f>Sheet1!L240</f>
        <v>46224.954961423602</v>
      </c>
      <c r="L240" t="str">
        <f>Sheet1!M240</f>
        <v>Go Live</v>
      </c>
      <c r="M240" t="str">
        <f>Sheet1!P240</f>
        <v>TOYOTA</v>
      </c>
      <c r="N240" t="str">
        <f>Sheet1!Q240</f>
        <v>2022</v>
      </c>
      <c r="O240">
        <f>Sheet1!AB240</f>
        <v>112774000</v>
      </c>
      <c r="P240" s="2">
        <f>Sheet1!AD240</f>
        <v>46223</v>
      </c>
      <c r="Q240" t="str">
        <f>Sheet1!AI240</f>
        <v>DWI HARTO-226039</v>
      </c>
      <c r="R240" t="str">
        <f>Sheet1!AJ240</f>
        <v/>
      </c>
      <c r="S240" t="str">
        <f>Sheet1!AK240</f>
        <v>Golive</v>
      </c>
      <c r="T240" t="str">
        <f>Sheet1!AL240</f>
        <v>SA</v>
      </c>
      <c r="U240" t="str">
        <f t="shared" si="3"/>
        <v>Done Survey</v>
      </c>
    </row>
    <row r="241" spans="1:21" x14ac:dyDescent="0.25">
      <c r="A241">
        <f>Sheet1!A241</f>
        <v>240</v>
      </c>
      <c r="B241" t="str">
        <f>Sheet1!B241</f>
        <v>BANDUNG</v>
      </c>
      <c r="C241" t="str">
        <f>Sheet1!C241</f>
        <v>ASEP WAWAN</v>
      </c>
      <c r="D241" t="str">
        <f>Sheet1!D241</f>
        <v>ODRNO2607180089</v>
      </c>
      <c r="E241" t="str">
        <f>Sheet1!E241</f>
        <v>813PRS20260705455</v>
      </c>
      <c r="F241" t="str">
        <f>Sheet1!F241</f>
        <v>Sales Agent (SA)</v>
      </c>
      <c r="G241">
        <f>Sheet1!G241</f>
        <v>0</v>
      </c>
      <c r="H241" t="str">
        <f>Sheet1!H241</f>
        <v>813APP20260700104</v>
      </c>
      <c r="I241" t="str">
        <f>Sheet1!I241</f>
        <v>RAMDHAN FIRMANSYAH</v>
      </c>
      <c r="J241" s="2">
        <f>Sheet1!K241</f>
        <v>46221.532318518497</v>
      </c>
      <c r="K241" s="2">
        <f>Sheet1!L241</f>
        <v>46224.544582986098</v>
      </c>
      <c r="L241" t="str">
        <f>Sheet1!M241</f>
        <v>Return Handling</v>
      </c>
      <c r="M241" t="str">
        <f>Sheet1!P241</f>
        <v>TOYOTA</v>
      </c>
      <c r="N241" t="str">
        <f>Sheet1!Q241</f>
        <v>2014</v>
      </c>
      <c r="O241">
        <f>Sheet1!AB241</f>
        <v>0</v>
      </c>
      <c r="P241" s="2">
        <f>Sheet1!AD241</f>
        <v>46223</v>
      </c>
      <c r="Q241" t="str">
        <f>Sheet1!AI241</f>
        <v>DWI HARTO-226039</v>
      </c>
      <c r="R241" t="str">
        <f>Sheet1!AJ241</f>
        <v/>
      </c>
      <c r="S241" t="str">
        <f>Sheet1!AK241</f>
        <v>In Proses</v>
      </c>
      <c r="T241" t="str">
        <f>Sheet1!AL241</f>
        <v>SA</v>
      </c>
      <c r="U241" t="str">
        <f t="shared" si="3"/>
        <v>Done Survey</v>
      </c>
    </row>
    <row r="242" spans="1:21" x14ac:dyDescent="0.25">
      <c r="A242">
        <f>Sheet1!A242</f>
        <v>241</v>
      </c>
      <c r="B242" t="str">
        <f>Sheet1!B242</f>
        <v>BATAM</v>
      </c>
      <c r="C242" t="str">
        <f>Sheet1!C242</f>
        <v xml:space="preserve">CONG BUI </v>
      </c>
      <c r="D242" t="str">
        <f>Sheet1!D242</f>
        <v>ODRNO2607180074</v>
      </c>
      <c r="E242" t="str">
        <f>Sheet1!E242</f>
        <v>806PRS20260702201</v>
      </c>
      <c r="F242" t="str">
        <f>Sheet1!F242</f>
        <v>Sales Agent (SA)</v>
      </c>
      <c r="G242">
        <f>Sheet1!G242</f>
        <v>0</v>
      </c>
      <c r="H242">
        <f>Sheet1!H242</f>
        <v>0</v>
      </c>
      <c r="I242" t="str">
        <f>Sheet1!I242</f>
        <v>PRAMA OVRIANDI SAPUTRA</v>
      </c>
      <c r="J242" s="2">
        <f>Sheet1!K242</f>
        <v>46221.492264965302</v>
      </c>
      <c r="K242" s="2">
        <f>Sheet1!L242</f>
        <v>46229.333346956002</v>
      </c>
      <c r="L242" t="str">
        <f>Sheet1!M242</f>
        <v>Prospect Cancel</v>
      </c>
      <c r="M242" t="str">
        <f>Sheet1!P242</f>
        <v>FORD</v>
      </c>
      <c r="N242" t="str">
        <f>Sheet1!Q242</f>
        <v>2015</v>
      </c>
      <c r="O242">
        <f>Sheet1!AB242</f>
        <v>0</v>
      </c>
      <c r="P242" s="2">
        <f>Sheet1!AD242</f>
        <v>0</v>
      </c>
      <c r="Q242" t="str">
        <f>Sheet1!AI242</f>
        <v>MUHAMMAD MUCHLISH INSANI-426032</v>
      </c>
      <c r="R242" t="str">
        <f>Sheet1!AJ242</f>
        <v/>
      </c>
      <c r="S242" t="str">
        <f>Sheet1!AK242</f>
        <v>Cancel</v>
      </c>
      <c r="T242" t="str">
        <f>Sheet1!AL242</f>
        <v>SA</v>
      </c>
      <c r="U242">
        <f t="shared" si="3"/>
        <v>0</v>
      </c>
    </row>
    <row r="243" spans="1:21" x14ac:dyDescent="0.25">
      <c r="A243">
        <f>Sheet1!A243</f>
        <v>242</v>
      </c>
      <c r="B243" t="str">
        <f>Sheet1!B243</f>
        <v>BEKASI</v>
      </c>
      <c r="C243" t="str">
        <f>Sheet1!C243</f>
        <v>ABDUL YONI</v>
      </c>
      <c r="D243" t="str">
        <f>Sheet1!D243</f>
        <v>ODRNO2607180079</v>
      </c>
      <c r="E243" t="str">
        <f>Sheet1!E243</f>
        <v>811PRS20260704866</v>
      </c>
      <c r="F243" t="str">
        <f>Sheet1!F243</f>
        <v>Sales Agent (SA)</v>
      </c>
      <c r="G243">
        <f>Sheet1!G243</f>
        <v>0</v>
      </c>
      <c r="H243">
        <f>Sheet1!H243</f>
        <v>0</v>
      </c>
      <c r="I243" t="str">
        <f>Sheet1!I243</f>
        <v>KURNIAWAN ARIBOWO</v>
      </c>
      <c r="J243" s="2">
        <f>Sheet1!K243</f>
        <v>46221.507591585701</v>
      </c>
      <c r="K243" s="2">
        <f>Sheet1!L243</f>
        <v>46229.333346956002</v>
      </c>
      <c r="L243" t="str">
        <f>Sheet1!M243</f>
        <v>Prospect Cancel</v>
      </c>
      <c r="M243" t="str">
        <f>Sheet1!P243</f>
        <v>TOYOTA</v>
      </c>
      <c r="N243" t="str">
        <f>Sheet1!Q243</f>
        <v>2019</v>
      </c>
      <c r="O243">
        <f>Sheet1!AB243</f>
        <v>0</v>
      </c>
      <c r="P243" s="2">
        <f>Sheet1!AD243</f>
        <v>0</v>
      </c>
      <c r="Q243" t="str">
        <f>Sheet1!AI243</f>
        <v>RIFKI ARDIAN-126166</v>
      </c>
      <c r="R243" t="str">
        <f>Sheet1!AJ243</f>
        <v/>
      </c>
      <c r="S243" t="str">
        <f>Sheet1!AK243</f>
        <v>Cancel</v>
      </c>
      <c r="T243" t="str">
        <f>Sheet1!AL243</f>
        <v>SA</v>
      </c>
      <c r="U243">
        <f t="shared" si="3"/>
        <v>0</v>
      </c>
    </row>
    <row r="244" spans="1:21" x14ac:dyDescent="0.25">
      <c r="A244">
        <f>Sheet1!A244</f>
        <v>243</v>
      </c>
      <c r="B244" t="str">
        <f>Sheet1!B244</f>
        <v>BEKASI</v>
      </c>
      <c r="C244" t="str">
        <f>Sheet1!C244</f>
        <v>RASMUN JAYA</v>
      </c>
      <c r="D244" t="str">
        <f>Sheet1!D244</f>
        <v>ODRNO2607180080</v>
      </c>
      <c r="E244" t="str">
        <f>Sheet1!E244</f>
        <v>811PRS20260704867</v>
      </c>
      <c r="F244" t="str">
        <f>Sheet1!F244</f>
        <v>Sales Agent (SA)</v>
      </c>
      <c r="G244">
        <f>Sheet1!G244</f>
        <v>0</v>
      </c>
      <c r="H244">
        <f>Sheet1!H244</f>
        <v>0</v>
      </c>
      <c r="I244" t="str">
        <f>Sheet1!I244</f>
        <v>KURNIAWAN ARIBOWO</v>
      </c>
      <c r="J244" s="2">
        <f>Sheet1!K244</f>
        <v>46221.509927118102</v>
      </c>
      <c r="K244" s="2">
        <f>Sheet1!L244</f>
        <v>46229.333346956002</v>
      </c>
      <c r="L244" t="str">
        <f>Sheet1!M244</f>
        <v>Prospect Cancel</v>
      </c>
      <c r="M244" t="str">
        <f>Sheet1!P244</f>
        <v>DAIHATSU</v>
      </c>
      <c r="N244" t="str">
        <f>Sheet1!Q244</f>
        <v>2018</v>
      </c>
      <c r="O244">
        <f>Sheet1!AB244</f>
        <v>0</v>
      </c>
      <c r="P244" s="2">
        <f>Sheet1!AD244</f>
        <v>0</v>
      </c>
      <c r="Q244" t="str">
        <f>Sheet1!AI244</f>
        <v>MUHAMAD ILYAS-526007</v>
      </c>
      <c r="R244" t="str">
        <f>Sheet1!AJ244</f>
        <v/>
      </c>
      <c r="S244" t="str">
        <f>Sheet1!AK244</f>
        <v>Cancel</v>
      </c>
      <c r="T244" t="str">
        <f>Sheet1!AL244</f>
        <v>SA</v>
      </c>
      <c r="U244">
        <f t="shared" si="3"/>
        <v>0</v>
      </c>
    </row>
    <row r="245" spans="1:21" x14ac:dyDescent="0.25">
      <c r="A245">
        <f>Sheet1!A245</f>
        <v>244</v>
      </c>
      <c r="B245" t="str">
        <f>Sheet1!B245</f>
        <v>ALAM SUTERA</v>
      </c>
      <c r="C245" t="str">
        <f>Sheet1!C245</f>
        <v>LINGGA NOVANDA</v>
      </c>
      <c r="D245" t="str">
        <f>Sheet1!D245</f>
        <v>ODRNO2607200177</v>
      </c>
      <c r="E245" t="str">
        <f>Sheet1!E245</f>
        <v>838PRS20260702618</v>
      </c>
      <c r="F245" t="str">
        <f>Sheet1!F245</f>
        <v>Sales Agent (SA)</v>
      </c>
      <c r="G245" t="str">
        <f>Sheet1!G245</f>
        <v>8381032600026</v>
      </c>
      <c r="H245" t="str">
        <f>Sheet1!H245</f>
        <v>838APP20260700070</v>
      </c>
      <c r="I245" t="str">
        <f>Sheet1!I245</f>
        <v>IBRAHIM AZIZ</v>
      </c>
      <c r="J245" s="2">
        <f>Sheet1!K245</f>
        <v>46223.561395717603</v>
      </c>
      <c r="K245" s="2">
        <f>Sheet1!L245</f>
        <v>46227.419522916702</v>
      </c>
      <c r="L245" t="str">
        <f>Sheet1!M245</f>
        <v>Go Live</v>
      </c>
      <c r="M245" t="str">
        <f>Sheet1!P245</f>
        <v>BYD</v>
      </c>
      <c r="N245" t="str">
        <f>Sheet1!Q245</f>
        <v>2025</v>
      </c>
      <c r="O245">
        <f>Sheet1!AB245</f>
        <v>140800360</v>
      </c>
      <c r="P245" s="2">
        <f>Sheet1!AD245</f>
        <v>46226</v>
      </c>
      <c r="Q245" t="str">
        <f>Sheet1!AI245</f>
        <v>APRILLIA ANGGRAENI-126005</v>
      </c>
      <c r="R245" t="str">
        <f>Sheet1!AJ245</f>
        <v/>
      </c>
      <c r="S245" t="str">
        <f>Sheet1!AK245</f>
        <v>Golive</v>
      </c>
      <c r="T245" t="str">
        <f>Sheet1!AL245</f>
        <v>SA</v>
      </c>
      <c r="U245" t="str">
        <f t="shared" si="3"/>
        <v>Done Survey</v>
      </c>
    </row>
    <row r="246" spans="1:21" x14ac:dyDescent="0.25">
      <c r="A246">
        <f>Sheet1!A246</f>
        <v>245</v>
      </c>
      <c r="B246" t="str">
        <f>Sheet1!B246</f>
        <v>BANDUNG</v>
      </c>
      <c r="C246" t="str">
        <f>Sheet1!C246</f>
        <v>Yusi Desi Natalia</v>
      </c>
      <c r="D246" t="str">
        <f>Sheet1!D246</f>
        <v>ODRNO2607200169</v>
      </c>
      <c r="E246" t="str">
        <f>Sheet1!E246</f>
        <v>813PRS20260705494</v>
      </c>
      <c r="F246" t="str">
        <f>Sheet1!F246</f>
        <v>Sales Agent (SA)</v>
      </c>
      <c r="G246">
        <f>Sheet1!G246</f>
        <v>0</v>
      </c>
      <c r="H246">
        <f>Sheet1!H246</f>
        <v>0</v>
      </c>
      <c r="I246" t="str">
        <f>Sheet1!I246</f>
        <v>RISKI DALNI</v>
      </c>
      <c r="J246" s="2">
        <f>Sheet1!K246</f>
        <v>46223.5448638542</v>
      </c>
      <c r="K246" s="2">
        <f>Sheet1!L246</f>
        <v>46223.563403900502</v>
      </c>
      <c r="L246" t="str">
        <f>Sheet1!M246</f>
        <v>Prospect Cancel</v>
      </c>
      <c r="M246" t="str">
        <f>Sheet1!P246</f>
        <v>TOYOTA</v>
      </c>
      <c r="N246" t="str">
        <f>Sheet1!Q246</f>
        <v>2014</v>
      </c>
      <c r="O246">
        <f>Sheet1!AB246</f>
        <v>0</v>
      </c>
      <c r="P246" s="2">
        <f>Sheet1!AD246</f>
        <v>0</v>
      </c>
      <c r="Q246" t="str">
        <f>Sheet1!AI246</f>
        <v>BAGJA SANJAYA-126014</v>
      </c>
      <c r="R246" t="str">
        <f>Sheet1!AJ246</f>
        <v/>
      </c>
      <c r="S246" t="str">
        <f>Sheet1!AK246</f>
        <v>Cancel</v>
      </c>
      <c r="T246" t="str">
        <f>Sheet1!AL246</f>
        <v>SA</v>
      </c>
      <c r="U246">
        <f t="shared" si="3"/>
        <v>0</v>
      </c>
    </row>
    <row r="247" spans="1:21" x14ac:dyDescent="0.25">
      <c r="A247">
        <f>Sheet1!A247</f>
        <v>246</v>
      </c>
      <c r="B247" t="str">
        <f>Sheet1!B247</f>
        <v>BANDUNG</v>
      </c>
      <c r="C247" t="str">
        <f>Sheet1!C247</f>
        <v>SANDI PANJI</v>
      </c>
      <c r="D247" t="str">
        <f>Sheet1!D247</f>
        <v>ODRNO2607200225</v>
      </c>
      <c r="E247" t="str">
        <f>Sheet1!E247</f>
        <v>813PRS20260705496</v>
      </c>
      <c r="F247" t="str">
        <f>Sheet1!F247</f>
        <v>Sales Agent (SA)</v>
      </c>
      <c r="G247">
        <f>Sheet1!G247</f>
        <v>0</v>
      </c>
      <c r="H247">
        <f>Sheet1!H247</f>
        <v>0</v>
      </c>
      <c r="I247" t="str">
        <f>Sheet1!I247</f>
        <v>RAMDHAN FIRMANSYAH</v>
      </c>
      <c r="J247" s="2">
        <f>Sheet1!K247</f>
        <v>46223.667319294</v>
      </c>
      <c r="K247" s="2">
        <f>Sheet1!L247</f>
        <v>46231.333338969896</v>
      </c>
      <c r="L247" t="str">
        <f>Sheet1!M247</f>
        <v>Prospect Cancel</v>
      </c>
      <c r="M247" t="str">
        <f>Sheet1!P247</f>
        <v>TOYOTA</v>
      </c>
      <c r="N247" t="str">
        <f>Sheet1!Q247</f>
        <v>2018</v>
      </c>
      <c r="O247">
        <f>Sheet1!AB247</f>
        <v>0</v>
      </c>
      <c r="P247" s="2">
        <f>Sheet1!AD247</f>
        <v>0</v>
      </c>
      <c r="Q247" t="str">
        <f>Sheet1!AI247</f>
        <v>CHAERUL NURDIANSYAH SE-126091</v>
      </c>
      <c r="R247" t="str">
        <f>Sheet1!AJ247</f>
        <v/>
      </c>
      <c r="S247" t="str">
        <f>Sheet1!AK247</f>
        <v>Cancel</v>
      </c>
      <c r="T247" t="str">
        <f>Sheet1!AL247</f>
        <v>SA</v>
      </c>
      <c r="U247">
        <f t="shared" si="3"/>
        <v>0</v>
      </c>
    </row>
    <row r="248" spans="1:21" x14ac:dyDescent="0.25">
      <c r="A248">
        <f>Sheet1!A248</f>
        <v>247</v>
      </c>
      <c r="B248" t="str">
        <f>Sheet1!B248</f>
        <v>BANDUNG</v>
      </c>
      <c r="C248" t="str">
        <f>Sheet1!C248</f>
        <v>ASEP WAWAN</v>
      </c>
      <c r="D248" t="str">
        <f>Sheet1!D248</f>
        <v>ODRNO2607200291</v>
      </c>
      <c r="E248" t="str">
        <f>Sheet1!E248</f>
        <v>813PRS20260705503</v>
      </c>
      <c r="F248" t="str">
        <f>Sheet1!F248</f>
        <v>Sales Agent (SA)</v>
      </c>
      <c r="G248">
        <f>Sheet1!G248</f>
        <v>0</v>
      </c>
      <c r="H248">
        <f>Sheet1!H248</f>
        <v>0</v>
      </c>
      <c r="I248" t="str">
        <f>Sheet1!I248</f>
        <v>RAMDHAN FIRMANSYAH</v>
      </c>
      <c r="J248" s="2">
        <f>Sheet1!K248</f>
        <v>46223.904808761603</v>
      </c>
      <c r="K248" s="2">
        <f>Sheet1!L248</f>
        <v>46224.291934838002</v>
      </c>
      <c r="L248" t="str">
        <f>Sheet1!M248</f>
        <v>Prospect Cancel</v>
      </c>
      <c r="M248" t="str">
        <f>Sheet1!P248</f>
        <v>TOYOTA</v>
      </c>
      <c r="N248" t="str">
        <f>Sheet1!Q248</f>
        <v>2014</v>
      </c>
      <c r="O248">
        <f>Sheet1!AB248</f>
        <v>0</v>
      </c>
      <c r="P248" s="2">
        <f>Sheet1!AD248</f>
        <v>0</v>
      </c>
      <c r="Q248" t="str">
        <f>Sheet1!AI248</f>
        <v>DWI HARTO-226039</v>
      </c>
      <c r="R248" t="str">
        <f>Sheet1!AJ248</f>
        <v/>
      </c>
      <c r="S248" t="str">
        <f>Sheet1!AK248</f>
        <v>Cancel</v>
      </c>
      <c r="T248" t="str">
        <f>Sheet1!AL248</f>
        <v>SA</v>
      </c>
      <c r="U248">
        <f t="shared" si="3"/>
        <v>0</v>
      </c>
    </row>
    <row r="249" spans="1:21" x14ac:dyDescent="0.25">
      <c r="A249">
        <f>Sheet1!A249</f>
        <v>248</v>
      </c>
      <c r="B249" t="str">
        <f>Sheet1!B249</f>
        <v>BATAM</v>
      </c>
      <c r="C249" t="str">
        <f>Sheet1!C249</f>
        <v>ferry naimaturahmah nst</v>
      </c>
      <c r="D249" t="str">
        <f>Sheet1!D249</f>
        <v>ODRNO2607200289</v>
      </c>
      <c r="E249" t="str">
        <f>Sheet1!E249</f>
        <v>806PRS20260702218</v>
      </c>
      <c r="F249" t="str">
        <f>Sheet1!F249</f>
        <v>Sales Agent (SA)</v>
      </c>
      <c r="G249">
        <f>Sheet1!G249</f>
        <v>0</v>
      </c>
      <c r="H249">
        <f>Sheet1!H249</f>
        <v>0</v>
      </c>
      <c r="I249" t="str">
        <f>Sheet1!I249</f>
        <v>WELLY PRIMA SANDI</v>
      </c>
      <c r="J249" s="2">
        <f>Sheet1!K249</f>
        <v>46223.892064849497</v>
      </c>
      <c r="K249" s="2">
        <f>Sheet1!L249</f>
        <v>46232.333340428202</v>
      </c>
      <c r="L249" t="str">
        <f>Sheet1!M249</f>
        <v>Prospect Cancel</v>
      </c>
      <c r="M249" t="str">
        <f>Sheet1!P249</f>
        <v>DAIHATSU</v>
      </c>
      <c r="N249" t="str">
        <f>Sheet1!Q249</f>
        <v>2022</v>
      </c>
      <c r="O249">
        <f>Sheet1!AB249</f>
        <v>0</v>
      </c>
      <c r="P249" s="2">
        <f>Sheet1!AD249</f>
        <v>0</v>
      </c>
      <c r="Q249" t="str">
        <f>Sheet1!AI249</f>
        <v>ADINDA RAHMAN SITANGGANG-226083</v>
      </c>
      <c r="R249" t="str">
        <f>Sheet1!AJ249</f>
        <v/>
      </c>
      <c r="S249" t="str">
        <f>Sheet1!AK249</f>
        <v>Cancel</v>
      </c>
      <c r="T249" t="str">
        <f>Sheet1!AL249</f>
        <v>SA</v>
      </c>
      <c r="U249">
        <f t="shared" si="3"/>
        <v>0</v>
      </c>
    </row>
    <row r="250" spans="1:21" x14ac:dyDescent="0.25">
      <c r="A250">
        <f>Sheet1!A250</f>
        <v>249</v>
      </c>
      <c r="B250" t="str">
        <f>Sheet1!B250</f>
        <v>BEKASI</v>
      </c>
      <c r="C250" t="str">
        <f>Sheet1!C250</f>
        <v>ADEX CHANIAGO</v>
      </c>
      <c r="D250" t="str">
        <f>Sheet1!D250</f>
        <v>ODRNO2607200123</v>
      </c>
      <c r="E250" t="str">
        <f>Sheet1!E250</f>
        <v>811PRS20260704896</v>
      </c>
      <c r="F250" t="str">
        <f>Sheet1!F250</f>
        <v>Sales Agent (SA)</v>
      </c>
      <c r="G250">
        <f>Sheet1!G250</f>
        <v>0</v>
      </c>
      <c r="H250">
        <f>Sheet1!H250</f>
        <v>0</v>
      </c>
      <c r="I250" t="str">
        <f>Sheet1!I250</f>
        <v>KURNIAWAN ARIBOWO</v>
      </c>
      <c r="J250" s="2">
        <f>Sheet1!K250</f>
        <v>46223.465169675903</v>
      </c>
      <c r="K250" s="2">
        <f>Sheet1!L250</f>
        <v>46231.333338969896</v>
      </c>
      <c r="L250" t="str">
        <f>Sheet1!M250</f>
        <v>Prospect Cancel</v>
      </c>
      <c r="M250" t="str">
        <f>Sheet1!P250</f>
        <v>HONDA</v>
      </c>
      <c r="N250" t="str">
        <f>Sheet1!Q250</f>
        <v>2021</v>
      </c>
      <c r="O250">
        <f>Sheet1!AB250</f>
        <v>0</v>
      </c>
      <c r="P250" s="2">
        <f>Sheet1!AD250</f>
        <v>0</v>
      </c>
      <c r="Q250" t="str">
        <f>Sheet1!AI250</f>
        <v>MARIO IMANUEL-226038</v>
      </c>
      <c r="R250" t="str">
        <f>Sheet1!AJ250</f>
        <v/>
      </c>
      <c r="S250" t="str">
        <f>Sheet1!AK250</f>
        <v>Cancel</v>
      </c>
      <c r="T250" t="str">
        <f>Sheet1!AL250</f>
        <v>SA</v>
      </c>
      <c r="U250">
        <f t="shared" si="3"/>
        <v>0</v>
      </c>
    </row>
    <row r="251" spans="1:21" x14ac:dyDescent="0.25">
      <c r="A251">
        <f>Sheet1!A251</f>
        <v>250</v>
      </c>
      <c r="B251" t="str">
        <f>Sheet1!B251</f>
        <v>BEKASI</v>
      </c>
      <c r="C251" t="str">
        <f>Sheet1!C251</f>
        <v>YULIANTI</v>
      </c>
      <c r="D251" t="str">
        <f>Sheet1!D251</f>
        <v>ODRNO2607200183</v>
      </c>
      <c r="E251" t="str">
        <f>Sheet1!E251</f>
        <v>811PRS20260704900</v>
      </c>
      <c r="F251" t="str">
        <f>Sheet1!F251</f>
        <v>Sales Agent (SA)</v>
      </c>
      <c r="G251">
        <f>Sheet1!G251</f>
        <v>0</v>
      </c>
      <c r="H251">
        <f>Sheet1!H251</f>
        <v>0</v>
      </c>
      <c r="I251" t="str">
        <f>Sheet1!I251</f>
        <v>KURNIAWAN ARIBOWO</v>
      </c>
      <c r="J251" s="2">
        <f>Sheet1!K251</f>
        <v>46223.572915705998</v>
      </c>
      <c r="K251" s="2">
        <f>Sheet1!L251</f>
        <v>46231.333338969896</v>
      </c>
      <c r="L251" t="str">
        <f>Sheet1!M251</f>
        <v>Prospect Cancel</v>
      </c>
      <c r="M251" t="str">
        <f>Sheet1!P251</f>
        <v>TOYOTA</v>
      </c>
      <c r="N251" t="str">
        <f>Sheet1!Q251</f>
        <v>2010</v>
      </c>
      <c r="O251">
        <f>Sheet1!AB251</f>
        <v>0</v>
      </c>
      <c r="P251" s="2">
        <f>Sheet1!AD251</f>
        <v>0</v>
      </c>
      <c r="Q251" t="str">
        <f>Sheet1!AI251</f>
        <v>SANDY ISMAYANA-426017</v>
      </c>
      <c r="R251" t="str">
        <f>Sheet1!AJ251</f>
        <v/>
      </c>
      <c r="S251" t="str">
        <f>Sheet1!AK251</f>
        <v>Cancel</v>
      </c>
      <c r="T251" t="str">
        <f>Sheet1!AL251</f>
        <v>SA</v>
      </c>
      <c r="U251">
        <f t="shared" si="3"/>
        <v>0</v>
      </c>
    </row>
    <row r="252" spans="1:21" x14ac:dyDescent="0.25">
      <c r="A252">
        <f>Sheet1!A252</f>
        <v>251</v>
      </c>
      <c r="B252" t="str">
        <f>Sheet1!B252</f>
        <v>BEKASI</v>
      </c>
      <c r="C252" t="str">
        <f>Sheet1!C252</f>
        <v>ABDUL TALI SANTOSO</v>
      </c>
      <c r="D252" t="str">
        <f>Sheet1!D252</f>
        <v>ODRNO2607200188</v>
      </c>
      <c r="E252" t="str">
        <f>Sheet1!E252</f>
        <v>811PRS20260704901</v>
      </c>
      <c r="F252" t="str">
        <f>Sheet1!F252</f>
        <v>Sales Agent (SA)</v>
      </c>
      <c r="G252">
        <f>Sheet1!G252</f>
        <v>0</v>
      </c>
      <c r="H252">
        <f>Sheet1!H252</f>
        <v>0</v>
      </c>
      <c r="I252" t="str">
        <f>Sheet1!I252</f>
        <v>KURNIAWAN ARIBOWO</v>
      </c>
      <c r="J252" s="2">
        <f>Sheet1!K252</f>
        <v>46223.5828289005</v>
      </c>
      <c r="K252" s="2">
        <f>Sheet1!L252</f>
        <v>46231.333338969896</v>
      </c>
      <c r="L252" t="str">
        <f>Sheet1!M252</f>
        <v>Prospect Cancel</v>
      </c>
      <c r="M252" t="str">
        <f>Sheet1!P252</f>
        <v>TOYOTA</v>
      </c>
      <c r="N252" t="str">
        <f>Sheet1!Q252</f>
        <v>2013</v>
      </c>
      <c r="O252">
        <f>Sheet1!AB252</f>
        <v>0</v>
      </c>
      <c r="P252" s="2">
        <f>Sheet1!AD252</f>
        <v>0</v>
      </c>
      <c r="Q252" t="str">
        <f>Sheet1!AI252</f>
        <v>DWIE JAYANTO-126276</v>
      </c>
      <c r="R252" t="str">
        <f>Sheet1!AJ252</f>
        <v/>
      </c>
      <c r="S252" t="str">
        <f>Sheet1!AK252</f>
        <v>Cancel</v>
      </c>
      <c r="T252" t="str">
        <f>Sheet1!AL252</f>
        <v>SA</v>
      </c>
      <c r="U252">
        <f t="shared" si="3"/>
        <v>0</v>
      </c>
    </row>
    <row r="253" spans="1:21" x14ac:dyDescent="0.25">
      <c r="A253">
        <f>Sheet1!A253</f>
        <v>252</v>
      </c>
      <c r="B253" t="str">
        <f>Sheet1!B253</f>
        <v>BOGOR</v>
      </c>
      <c r="C253" t="str">
        <f>Sheet1!C253</f>
        <v>JIHAP MIHROS</v>
      </c>
      <c r="D253" t="str">
        <f>Sheet1!D253</f>
        <v>ODRNO2607200135</v>
      </c>
      <c r="E253" t="str">
        <f>Sheet1!E253</f>
        <v>812PRS20260701402</v>
      </c>
      <c r="F253" t="str">
        <f>Sheet1!F253</f>
        <v>Sales Agent (SA)</v>
      </c>
      <c r="G253" t="str">
        <f>Sheet1!G253</f>
        <v>8121022600026</v>
      </c>
      <c r="H253" t="str">
        <f>Sheet1!H253</f>
        <v>812APP20260700049</v>
      </c>
      <c r="I253" t="str">
        <f>Sheet1!I253</f>
        <v>EKA SUNARYO</v>
      </c>
      <c r="J253" s="2">
        <f>Sheet1!K253</f>
        <v>46223.492604826402</v>
      </c>
      <c r="K253" s="2">
        <f>Sheet1!L253</f>
        <v>46234.791590080997</v>
      </c>
      <c r="L253" t="str">
        <f>Sheet1!M253</f>
        <v>Go Live</v>
      </c>
      <c r="M253" t="str">
        <f>Sheet1!P253</f>
        <v>HONDA</v>
      </c>
      <c r="N253" t="str">
        <f>Sheet1!Q253</f>
        <v>2014</v>
      </c>
      <c r="O253">
        <f>Sheet1!AB253</f>
        <v>70582825</v>
      </c>
      <c r="P253" s="2">
        <f>Sheet1!AD253</f>
        <v>46230</v>
      </c>
      <c r="Q253" t="str">
        <f>Sheet1!AI253</f>
        <v>AGUNG PAMBUDI-226147</v>
      </c>
      <c r="R253" t="str">
        <f>Sheet1!AJ253</f>
        <v/>
      </c>
      <c r="S253" t="str">
        <f>Sheet1!AK253</f>
        <v>Golive</v>
      </c>
      <c r="T253" t="str">
        <f>Sheet1!AL253</f>
        <v>SA</v>
      </c>
      <c r="U253" t="str">
        <f t="shared" si="3"/>
        <v>Done Survey</v>
      </c>
    </row>
    <row r="254" spans="1:21" x14ac:dyDescent="0.25">
      <c r="A254">
        <f>Sheet1!A254</f>
        <v>253</v>
      </c>
      <c r="B254" t="str">
        <f>Sheet1!B254</f>
        <v>BOGOR</v>
      </c>
      <c r="C254" t="str">
        <f>Sheet1!C254</f>
        <v>MOCHAMMAD PANDU</v>
      </c>
      <c r="D254" t="str">
        <f>Sheet1!D254</f>
        <v>ODRNO2607200184</v>
      </c>
      <c r="E254" t="str">
        <f>Sheet1!E254</f>
        <v>812PRS20260701403</v>
      </c>
      <c r="F254" t="str">
        <f>Sheet1!F254</f>
        <v>Sales Agent (SA)</v>
      </c>
      <c r="G254">
        <f>Sheet1!G254</f>
        <v>0</v>
      </c>
      <c r="H254">
        <f>Sheet1!H254</f>
        <v>0</v>
      </c>
      <c r="I254" t="str">
        <f>Sheet1!I254</f>
        <v>EKA SUNARYO</v>
      </c>
      <c r="J254" s="2">
        <f>Sheet1!K254</f>
        <v>46223.574187303202</v>
      </c>
      <c r="K254" s="2">
        <f>Sheet1!L254</f>
        <v>46223.5804768171</v>
      </c>
      <c r="L254" t="str">
        <f>Sheet1!M254</f>
        <v>Prospect Cancel</v>
      </c>
      <c r="M254" t="str">
        <f>Sheet1!P254</f>
        <v>HONDA</v>
      </c>
      <c r="N254" t="str">
        <f>Sheet1!Q254</f>
        <v>2018</v>
      </c>
      <c r="O254">
        <f>Sheet1!AB254</f>
        <v>0</v>
      </c>
      <c r="P254" s="2">
        <f>Sheet1!AD254</f>
        <v>0</v>
      </c>
      <c r="Q254" t="str">
        <f>Sheet1!AI254</f>
        <v>AGUNG FEBRU SIREGAR-526005</v>
      </c>
      <c r="R254" t="str">
        <f>Sheet1!AJ254</f>
        <v/>
      </c>
      <c r="S254" t="str">
        <f>Sheet1!AK254</f>
        <v>Cancel</v>
      </c>
      <c r="T254" t="str">
        <f>Sheet1!AL254</f>
        <v>SA</v>
      </c>
      <c r="U254">
        <f t="shared" si="3"/>
        <v>0</v>
      </c>
    </row>
    <row r="255" spans="1:21" x14ac:dyDescent="0.25">
      <c r="A255">
        <f>Sheet1!A255</f>
        <v>254</v>
      </c>
      <c r="B255" t="str">
        <f>Sheet1!B255</f>
        <v>BOGOR</v>
      </c>
      <c r="C255" t="str">
        <f>Sheet1!C255</f>
        <v>JAENUDIN</v>
      </c>
      <c r="D255" t="str">
        <f>Sheet1!D255</f>
        <v>ODRNO2607200274</v>
      </c>
      <c r="E255" t="str">
        <f>Sheet1!E255</f>
        <v>812PRS20260701404</v>
      </c>
      <c r="F255" t="str">
        <f>Sheet1!F255</f>
        <v>Sales Agent (SA)</v>
      </c>
      <c r="G255">
        <f>Sheet1!G255</f>
        <v>0</v>
      </c>
      <c r="H255">
        <f>Sheet1!H255</f>
        <v>0</v>
      </c>
      <c r="I255" t="str">
        <f>Sheet1!I255</f>
        <v>SENJAYA BUDIMAN</v>
      </c>
      <c r="J255" s="2">
        <f>Sheet1!K255</f>
        <v>46223.824638460603</v>
      </c>
      <c r="K255" s="2">
        <f>Sheet1!L255</f>
        <v>46231.333338969896</v>
      </c>
      <c r="L255" t="str">
        <f>Sheet1!M255</f>
        <v>Prospect Cancel</v>
      </c>
      <c r="M255" t="str">
        <f>Sheet1!P255</f>
        <v>TOYOTA</v>
      </c>
      <c r="N255" t="str">
        <f>Sheet1!Q255</f>
        <v>2019</v>
      </c>
      <c r="O255">
        <f>Sheet1!AB255</f>
        <v>0</v>
      </c>
      <c r="P255" s="2">
        <f>Sheet1!AD255</f>
        <v>0</v>
      </c>
      <c r="Q255" t="str">
        <f>Sheet1!AI255</f>
        <v>ADI SUTEJO SE-526006</v>
      </c>
      <c r="R255" t="str">
        <f>Sheet1!AJ255</f>
        <v/>
      </c>
      <c r="S255" t="str">
        <f>Sheet1!AK255</f>
        <v>Cancel</v>
      </c>
      <c r="T255" t="str">
        <f>Sheet1!AL255</f>
        <v>SA</v>
      </c>
      <c r="U255">
        <f t="shared" si="3"/>
        <v>0</v>
      </c>
    </row>
    <row r="256" spans="1:21" x14ac:dyDescent="0.25">
      <c r="A256">
        <f>Sheet1!A256</f>
        <v>255</v>
      </c>
      <c r="B256" t="str">
        <f>Sheet1!B256</f>
        <v>FATMAWATI</v>
      </c>
      <c r="C256" t="str">
        <f>Sheet1!C256</f>
        <v>ARIQ MUHAMMAD SULTHAN</v>
      </c>
      <c r="D256" t="str">
        <f>Sheet1!D256</f>
        <v>ODRNO2607200201</v>
      </c>
      <c r="E256" t="str">
        <f>Sheet1!E256</f>
        <v>802PRS20260702362</v>
      </c>
      <c r="F256" t="str">
        <f>Sheet1!F256</f>
        <v>Sales Agent (SA)</v>
      </c>
      <c r="G256">
        <f>Sheet1!G256</f>
        <v>0</v>
      </c>
      <c r="H256">
        <f>Sheet1!H256</f>
        <v>0</v>
      </c>
      <c r="I256" t="str">
        <f>Sheet1!I256</f>
        <v>RIZQI APRIANSYAH</v>
      </c>
      <c r="J256" s="2">
        <f>Sheet1!K256</f>
        <v>46223.600370057902</v>
      </c>
      <c r="K256" s="2">
        <f>Sheet1!L256</f>
        <v>46223.703309803197</v>
      </c>
      <c r="L256" t="str">
        <f>Sheet1!M256</f>
        <v>Prospect Cancel</v>
      </c>
      <c r="M256" t="str">
        <f>Sheet1!P256</f>
        <v>TOYOTA</v>
      </c>
      <c r="N256" t="str">
        <f>Sheet1!Q256</f>
        <v>2022</v>
      </c>
      <c r="O256">
        <f>Sheet1!AB256</f>
        <v>0</v>
      </c>
      <c r="P256" s="2">
        <f>Sheet1!AD256</f>
        <v>0</v>
      </c>
      <c r="Q256" t="str">
        <f>Sheet1!AI256</f>
        <v>IMAN NURIMAN-226063</v>
      </c>
      <c r="R256" t="str">
        <f>Sheet1!AJ256</f>
        <v/>
      </c>
      <c r="S256" t="str">
        <f>Sheet1!AK256</f>
        <v>Cancel</v>
      </c>
      <c r="T256" t="str">
        <f>Sheet1!AL256</f>
        <v>SA</v>
      </c>
      <c r="U256">
        <f t="shared" si="3"/>
        <v>0</v>
      </c>
    </row>
    <row r="257" spans="1:21" x14ac:dyDescent="0.25">
      <c r="A257">
        <f>Sheet1!A257</f>
        <v>256</v>
      </c>
      <c r="B257" t="str">
        <f>Sheet1!B257</f>
        <v>FATMAWATI</v>
      </c>
      <c r="C257" t="str">
        <f>Sheet1!C257</f>
        <v>suherman</v>
      </c>
      <c r="D257" t="str">
        <f>Sheet1!D257</f>
        <v>ODRNO2607200224</v>
      </c>
      <c r="E257" t="str">
        <f>Sheet1!E257</f>
        <v>802PRS20260702366</v>
      </c>
      <c r="F257" t="str">
        <f>Sheet1!F257</f>
        <v>Sales Agent (SA)</v>
      </c>
      <c r="G257">
        <f>Sheet1!G257</f>
        <v>0</v>
      </c>
      <c r="H257">
        <f>Sheet1!H257</f>
        <v>0</v>
      </c>
      <c r="I257" t="str">
        <f>Sheet1!I257</f>
        <v>DICKY APRIYADI</v>
      </c>
      <c r="J257" s="2">
        <f>Sheet1!K257</f>
        <v>46223.665802812502</v>
      </c>
      <c r="K257" s="2">
        <f>Sheet1!L257</f>
        <v>46223.670210300901</v>
      </c>
      <c r="L257" t="str">
        <f>Sheet1!M257</f>
        <v>Assignment Survey 1</v>
      </c>
      <c r="M257" t="str">
        <f>Sheet1!P257</f>
        <v>TOYOTA</v>
      </c>
      <c r="N257" t="str">
        <f>Sheet1!Q257</f>
        <v>2017</v>
      </c>
      <c r="O257">
        <f>Sheet1!AB257</f>
        <v>0</v>
      </c>
      <c r="P257" s="2">
        <f>Sheet1!AD257</f>
        <v>0</v>
      </c>
      <c r="Q257" t="str">
        <f>Sheet1!AI257</f>
        <v>WICAKSONO-0726017</v>
      </c>
      <c r="R257" t="str">
        <f>Sheet1!AJ257</f>
        <v/>
      </c>
      <c r="S257" t="str">
        <f>Sheet1!AK257</f>
        <v>In Proses</v>
      </c>
      <c r="T257" t="str">
        <f>Sheet1!AL257</f>
        <v>SA</v>
      </c>
      <c r="U257">
        <f t="shared" si="3"/>
        <v>0</v>
      </c>
    </row>
    <row r="258" spans="1:21" x14ac:dyDescent="0.25">
      <c r="A258">
        <f>Sheet1!A258</f>
        <v>257</v>
      </c>
      <c r="B258" t="str">
        <f>Sheet1!B258</f>
        <v>LAMPUNG</v>
      </c>
      <c r="C258" t="str">
        <f>Sheet1!C258</f>
        <v>tri sutrisno</v>
      </c>
      <c r="D258" t="str">
        <f>Sheet1!D258</f>
        <v>ODRNO2607200118</v>
      </c>
      <c r="E258" t="str">
        <f>Sheet1!E258</f>
        <v>810PRS20260700725</v>
      </c>
      <c r="F258" t="str">
        <f>Sheet1!F258</f>
        <v>Sales Agent (SA)</v>
      </c>
      <c r="G258">
        <f>Sheet1!G258</f>
        <v>0</v>
      </c>
      <c r="H258">
        <f>Sheet1!H258</f>
        <v>0</v>
      </c>
      <c r="I258" t="str">
        <f>Sheet1!I258</f>
        <v>AZWAN</v>
      </c>
      <c r="J258" s="2">
        <f>Sheet1!K258</f>
        <v>46223.455625543997</v>
      </c>
      <c r="K258" s="2">
        <f>Sheet1!L258</f>
        <v>46231.333338969896</v>
      </c>
      <c r="L258" t="str">
        <f>Sheet1!M258</f>
        <v>Prospect Cancel</v>
      </c>
      <c r="M258" t="str">
        <f>Sheet1!P258</f>
        <v>DAIHATSU</v>
      </c>
      <c r="N258" t="str">
        <f>Sheet1!Q258</f>
        <v>2019</v>
      </c>
      <c r="O258">
        <f>Sheet1!AB258</f>
        <v>0</v>
      </c>
      <c r="P258" s="2">
        <f>Sheet1!AD258</f>
        <v>0</v>
      </c>
      <c r="Q258" t="str">
        <f>Sheet1!AI258</f>
        <v>DAENG MAREWA-126237</v>
      </c>
      <c r="R258" t="str">
        <f>Sheet1!AJ258</f>
        <v/>
      </c>
      <c r="S258" t="str">
        <f>Sheet1!AK258</f>
        <v>Cancel</v>
      </c>
      <c r="T258" t="str">
        <f>Sheet1!AL258</f>
        <v>SA</v>
      </c>
      <c r="U258">
        <f t="shared" si="3"/>
        <v>0</v>
      </c>
    </row>
    <row r="259" spans="1:21" x14ac:dyDescent="0.25">
      <c r="A259">
        <f>Sheet1!A259</f>
        <v>258</v>
      </c>
      <c r="B259" t="str">
        <f>Sheet1!B259</f>
        <v>LAMPUNG</v>
      </c>
      <c r="C259" t="str">
        <f>Sheet1!C259</f>
        <v>agung hartono putra</v>
      </c>
      <c r="D259" t="str">
        <f>Sheet1!D259</f>
        <v>ODRNO2607200138</v>
      </c>
      <c r="E259" t="str">
        <f>Sheet1!E259</f>
        <v>810PRS20260700726</v>
      </c>
      <c r="F259" t="str">
        <f>Sheet1!F259</f>
        <v>Sales Agent (SA)</v>
      </c>
      <c r="G259">
        <f>Sheet1!G259</f>
        <v>0</v>
      </c>
      <c r="H259">
        <f>Sheet1!H259</f>
        <v>0</v>
      </c>
      <c r="I259" t="str">
        <f>Sheet1!I259</f>
        <v>AZWAN</v>
      </c>
      <c r="J259" s="2">
        <f>Sheet1!K259</f>
        <v>46223.4951895833</v>
      </c>
      <c r="K259" s="2">
        <f>Sheet1!L259</f>
        <v>46231.333338969896</v>
      </c>
      <c r="L259" t="str">
        <f>Sheet1!M259</f>
        <v>Prospect Cancel</v>
      </c>
      <c r="M259" t="str">
        <f>Sheet1!P259</f>
        <v>DATSUN</v>
      </c>
      <c r="N259" t="str">
        <f>Sheet1!Q259</f>
        <v>2018</v>
      </c>
      <c r="O259">
        <f>Sheet1!AB259</f>
        <v>0</v>
      </c>
      <c r="P259" s="2">
        <f>Sheet1!AD259</f>
        <v>0</v>
      </c>
      <c r="Q259" t="str">
        <f>Sheet1!AI259</f>
        <v>CATUR MARDIYANTO-226006</v>
      </c>
      <c r="R259" t="str">
        <f>Sheet1!AJ259</f>
        <v/>
      </c>
      <c r="S259" t="str">
        <f>Sheet1!AK259</f>
        <v>Cancel</v>
      </c>
      <c r="T259" t="str">
        <f>Sheet1!AL259</f>
        <v>SA</v>
      </c>
      <c r="U259">
        <f t="shared" ref="U259:U322" si="4">IF(H259=0,0,"Done Survey")</f>
        <v>0</v>
      </c>
    </row>
    <row r="260" spans="1:21" x14ac:dyDescent="0.25">
      <c r="A260">
        <f>Sheet1!A260</f>
        <v>259</v>
      </c>
      <c r="B260" t="str">
        <f>Sheet1!B260</f>
        <v>LAMPUNG</v>
      </c>
      <c r="C260" t="str">
        <f>Sheet1!C260</f>
        <v>yogi</v>
      </c>
      <c r="D260" t="str">
        <f>Sheet1!D260</f>
        <v>ODRNO2607200197</v>
      </c>
      <c r="E260" t="str">
        <f>Sheet1!E260</f>
        <v>810PRS20260700727</v>
      </c>
      <c r="F260" t="str">
        <f>Sheet1!F260</f>
        <v>Sales Agent (SA)</v>
      </c>
      <c r="G260">
        <f>Sheet1!G260</f>
        <v>0</v>
      </c>
      <c r="H260">
        <f>Sheet1!H260</f>
        <v>0</v>
      </c>
      <c r="I260" t="str">
        <f>Sheet1!I260</f>
        <v>AZWAN</v>
      </c>
      <c r="J260" s="2">
        <f>Sheet1!K260</f>
        <v>46223.591868900498</v>
      </c>
      <c r="K260" s="2">
        <f>Sheet1!L260</f>
        <v>46231.333338969896</v>
      </c>
      <c r="L260" t="str">
        <f>Sheet1!M260</f>
        <v>Prospect Cancel</v>
      </c>
      <c r="M260" t="str">
        <f>Sheet1!P260</f>
        <v>HONDA</v>
      </c>
      <c r="N260" t="str">
        <f>Sheet1!Q260</f>
        <v>2016</v>
      </c>
      <c r="O260">
        <f>Sheet1!AB260</f>
        <v>0</v>
      </c>
      <c r="P260" s="2">
        <f>Sheet1!AD260</f>
        <v>0</v>
      </c>
      <c r="Q260" t="str">
        <f>Sheet1!AI260</f>
        <v>HENDI KURNIAWAN-126018</v>
      </c>
      <c r="R260" t="str">
        <f>Sheet1!AJ260</f>
        <v/>
      </c>
      <c r="S260" t="str">
        <f>Sheet1!AK260</f>
        <v>Cancel</v>
      </c>
      <c r="T260" t="str">
        <f>Sheet1!AL260</f>
        <v>SA</v>
      </c>
      <c r="U260">
        <f t="shared" si="4"/>
        <v>0</v>
      </c>
    </row>
    <row r="261" spans="1:21" x14ac:dyDescent="0.25">
      <c r="A261">
        <f>Sheet1!A261</f>
        <v>260</v>
      </c>
      <c r="B261" t="str">
        <f>Sheet1!B261</f>
        <v>MEDAN DUA</v>
      </c>
      <c r="C261" t="str">
        <f>Sheet1!C261</f>
        <v>AGUSMILAWARDANA SEMBIRING</v>
      </c>
      <c r="D261" t="str">
        <f>Sheet1!D261</f>
        <v>ODRNO2607200122</v>
      </c>
      <c r="E261" t="str">
        <f>Sheet1!E261</f>
        <v>839PRS20260700954</v>
      </c>
      <c r="F261" t="str">
        <f>Sheet1!F261</f>
        <v>Sales Agent (SA)</v>
      </c>
      <c r="G261">
        <f>Sheet1!G261</f>
        <v>0</v>
      </c>
      <c r="H261">
        <f>Sheet1!H261</f>
        <v>0</v>
      </c>
      <c r="I261" t="str">
        <f>Sheet1!I261</f>
        <v>WASTO SIHOMBING</v>
      </c>
      <c r="J261" s="2">
        <f>Sheet1!K261</f>
        <v>46223.462946562497</v>
      </c>
      <c r="K261" s="2">
        <f>Sheet1!L261</f>
        <v>46231.333338969896</v>
      </c>
      <c r="L261" t="str">
        <f>Sheet1!M261</f>
        <v>Prospect Cancel</v>
      </c>
      <c r="M261" t="str">
        <f>Sheet1!P261</f>
        <v>TOYOTA</v>
      </c>
      <c r="N261" t="str">
        <f>Sheet1!Q261</f>
        <v>2016</v>
      </c>
      <c r="O261">
        <f>Sheet1!AB261</f>
        <v>0</v>
      </c>
      <c r="P261" s="2">
        <f>Sheet1!AD261</f>
        <v>0</v>
      </c>
      <c r="Q261" t="str">
        <f>Sheet1!AI261</f>
        <v>HERYANTO NABABAN-126406</v>
      </c>
      <c r="R261" t="str">
        <f>Sheet1!AJ261</f>
        <v/>
      </c>
      <c r="S261" t="str">
        <f>Sheet1!AK261</f>
        <v>Cancel</v>
      </c>
      <c r="T261" t="str">
        <f>Sheet1!AL261</f>
        <v>SA</v>
      </c>
      <c r="U261">
        <f t="shared" si="4"/>
        <v>0</v>
      </c>
    </row>
    <row r="262" spans="1:21" x14ac:dyDescent="0.25">
      <c r="A262">
        <f>Sheet1!A262</f>
        <v>261</v>
      </c>
      <c r="B262" t="str">
        <f>Sheet1!B262</f>
        <v>PEKANBARU</v>
      </c>
      <c r="C262" t="str">
        <f>Sheet1!C262</f>
        <v>RINALDI</v>
      </c>
      <c r="D262" t="str">
        <f>Sheet1!D262</f>
        <v>ODRNO2607200166</v>
      </c>
      <c r="E262" t="str">
        <f>Sheet1!E262</f>
        <v>805PRS20260702711</v>
      </c>
      <c r="F262" t="str">
        <f>Sheet1!F262</f>
        <v>Sales Agent (SA)</v>
      </c>
      <c r="G262">
        <f>Sheet1!G262</f>
        <v>0</v>
      </c>
      <c r="H262">
        <f>Sheet1!H262</f>
        <v>0</v>
      </c>
      <c r="I262" t="str">
        <f>Sheet1!I262</f>
        <v>MUHAMMAD RIDWAN</v>
      </c>
      <c r="J262" s="2">
        <f>Sheet1!K262</f>
        <v>46223.540582789297</v>
      </c>
      <c r="K262" s="2">
        <f>Sheet1!L262</f>
        <v>46231.333338969896</v>
      </c>
      <c r="L262" t="str">
        <f>Sheet1!M262</f>
        <v>Prospect Cancel</v>
      </c>
      <c r="M262" t="str">
        <f>Sheet1!P262</f>
        <v>MITSUBISHI</v>
      </c>
      <c r="N262" t="str">
        <f>Sheet1!Q262</f>
        <v>2014</v>
      </c>
      <c r="O262">
        <f>Sheet1!AB262</f>
        <v>0</v>
      </c>
      <c r="P262" s="2">
        <f>Sheet1!AD262</f>
        <v>0</v>
      </c>
      <c r="Q262" t="str">
        <f>Sheet1!AI262</f>
        <v>WIWIN PRASETYA-126121</v>
      </c>
      <c r="R262" t="str">
        <f>Sheet1!AJ262</f>
        <v/>
      </c>
      <c r="S262" t="str">
        <f>Sheet1!AK262</f>
        <v>Cancel</v>
      </c>
      <c r="T262" t="str">
        <f>Sheet1!AL262</f>
        <v>SA</v>
      </c>
      <c r="U262">
        <f t="shared" si="4"/>
        <v>0</v>
      </c>
    </row>
    <row r="263" spans="1:21" x14ac:dyDescent="0.25">
      <c r="A263">
        <f>Sheet1!A263</f>
        <v>262</v>
      </c>
      <c r="B263" t="str">
        <f>Sheet1!B263</f>
        <v>PEKANBARU</v>
      </c>
      <c r="C263" t="str">
        <f>Sheet1!C263</f>
        <v>MEGA ROS SIMANJUNTAK</v>
      </c>
      <c r="D263" t="str">
        <f>Sheet1!D263</f>
        <v>ODRNO2607200173</v>
      </c>
      <c r="E263" t="str">
        <f>Sheet1!E263</f>
        <v>805PRS20260702712</v>
      </c>
      <c r="F263" t="str">
        <f>Sheet1!F263</f>
        <v>Sales Agent (SA)</v>
      </c>
      <c r="G263" t="str">
        <f>Sheet1!G263</f>
        <v>8051022600004</v>
      </c>
      <c r="H263" t="str">
        <f>Sheet1!H263</f>
        <v>805APP20260700067</v>
      </c>
      <c r="I263" t="str">
        <f>Sheet1!I263</f>
        <v>MUHAMMAD RIDWAN</v>
      </c>
      <c r="J263" s="2">
        <f>Sheet1!K263</f>
        <v>46223.557124849503</v>
      </c>
      <c r="K263" s="2">
        <f>Sheet1!L263</f>
        <v>46225.558872569403</v>
      </c>
      <c r="L263" t="str">
        <f>Sheet1!M263</f>
        <v>Go Live</v>
      </c>
      <c r="M263" t="str">
        <f>Sheet1!P263</f>
        <v>TOYOTA</v>
      </c>
      <c r="N263" t="str">
        <f>Sheet1!Q263</f>
        <v>2022</v>
      </c>
      <c r="O263">
        <f>Sheet1!AB263</f>
        <v>187000000</v>
      </c>
      <c r="P263" s="2">
        <f>Sheet1!AD263</f>
        <v>46225</v>
      </c>
      <c r="Q263" t="str">
        <f>Sheet1!AI263</f>
        <v>MUHAMMAD RAMLI-226112</v>
      </c>
      <c r="R263" t="str">
        <f>Sheet1!AJ263</f>
        <v/>
      </c>
      <c r="S263" t="str">
        <f>Sheet1!AK263</f>
        <v>Golive</v>
      </c>
      <c r="T263" t="str">
        <f>Sheet1!AL263</f>
        <v>SA</v>
      </c>
      <c r="U263" t="str">
        <f t="shared" si="4"/>
        <v>Done Survey</v>
      </c>
    </row>
    <row r="264" spans="1:21" x14ac:dyDescent="0.25">
      <c r="A264">
        <f>Sheet1!A264</f>
        <v>263</v>
      </c>
      <c r="B264" t="str">
        <f>Sheet1!B264</f>
        <v>PEKANBARU</v>
      </c>
      <c r="C264" t="str">
        <f>Sheet1!C264</f>
        <v>JHON HERI PUTRA KENANGAN PURBA</v>
      </c>
      <c r="D264" t="str">
        <f>Sheet1!D264</f>
        <v>ODRNO2607200182</v>
      </c>
      <c r="E264" t="str">
        <f>Sheet1!E264</f>
        <v>805PRS20260702713</v>
      </c>
      <c r="F264" t="str">
        <f>Sheet1!F264</f>
        <v>Sales Agent (SA)</v>
      </c>
      <c r="G264">
        <f>Sheet1!G264</f>
        <v>0</v>
      </c>
      <c r="H264" t="str">
        <f>Sheet1!H264</f>
        <v>805APP20260700074</v>
      </c>
      <c r="I264" t="str">
        <f>Sheet1!I264</f>
        <v>MUHAMMAD RIDWAN</v>
      </c>
      <c r="J264" s="2">
        <f>Sheet1!K264</f>
        <v>46223.572263657399</v>
      </c>
      <c r="K264" s="2">
        <f>Sheet1!L264</f>
        <v>46226.590746724498</v>
      </c>
      <c r="L264" t="str">
        <f>Sheet1!M264</f>
        <v>Return Handling</v>
      </c>
      <c r="M264" t="str">
        <f>Sheet1!P264</f>
        <v>TOYOTA</v>
      </c>
      <c r="N264" t="str">
        <f>Sheet1!Q264</f>
        <v>2022</v>
      </c>
      <c r="O264">
        <f>Sheet1!AB264</f>
        <v>0</v>
      </c>
      <c r="P264" s="2">
        <f>Sheet1!AD264</f>
        <v>46226</v>
      </c>
      <c r="Q264" t="str">
        <f>Sheet1!AI264</f>
        <v>DODI DWI FIRMA SUSETYO-0726065</v>
      </c>
      <c r="R264" t="str">
        <f>Sheet1!AJ264</f>
        <v/>
      </c>
      <c r="S264" t="str">
        <f>Sheet1!AK264</f>
        <v>In Proses</v>
      </c>
      <c r="T264" t="str">
        <f>Sheet1!AL264</f>
        <v>SA</v>
      </c>
      <c r="U264" t="str">
        <f t="shared" si="4"/>
        <v>Done Survey</v>
      </c>
    </row>
    <row r="265" spans="1:21" x14ac:dyDescent="0.25">
      <c r="A265">
        <f>Sheet1!A265</f>
        <v>264</v>
      </c>
      <c r="B265" t="str">
        <f>Sheet1!B265</f>
        <v>PEKANBARU</v>
      </c>
      <c r="C265" t="str">
        <f>Sheet1!C265</f>
        <v>ROHIT MAULANA</v>
      </c>
      <c r="D265" t="str">
        <f>Sheet1!D265</f>
        <v>ODRNO2607200194</v>
      </c>
      <c r="E265" t="str">
        <f>Sheet1!E265</f>
        <v>805PRS20260702714</v>
      </c>
      <c r="F265" t="str">
        <f>Sheet1!F265</f>
        <v>Sales Agent (SA)</v>
      </c>
      <c r="G265" t="str">
        <f>Sheet1!G265</f>
        <v>8051032600017</v>
      </c>
      <c r="H265" t="str">
        <f>Sheet1!H265</f>
        <v>805APP20260700082</v>
      </c>
      <c r="I265" t="str">
        <f>Sheet1!I265</f>
        <v>MUHAMMAD RIDWAN</v>
      </c>
      <c r="J265" s="2">
        <f>Sheet1!K265</f>
        <v>46223.589881909698</v>
      </c>
      <c r="K265" s="2">
        <f>Sheet1!L265</f>
        <v>46229.609905127298</v>
      </c>
      <c r="L265" t="str">
        <f>Sheet1!M265</f>
        <v>Go Live</v>
      </c>
      <c r="M265" t="str">
        <f>Sheet1!P265</f>
        <v>TOYOTA</v>
      </c>
      <c r="N265" t="str">
        <f>Sheet1!Q265</f>
        <v>2023</v>
      </c>
      <c r="O265">
        <f>Sheet1!AB265</f>
        <v>334900140</v>
      </c>
      <c r="P265" s="2">
        <f>Sheet1!AD265</f>
        <v>46227</v>
      </c>
      <c r="Q265" t="str">
        <f>Sheet1!AI265</f>
        <v>MUHAMMAD ISRAMI-226109</v>
      </c>
      <c r="R265" t="str">
        <f>Sheet1!AJ265</f>
        <v/>
      </c>
      <c r="S265" t="str">
        <f>Sheet1!AK265</f>
        <v>Golive</v>
      </c>
      <c r="T265" t="str">
        <f>Sheet1!AL265</f>
        <v>SA</v>
      </c>
      <c r="U265" t="str">
        <f t="shared" si="4"/>
        <v>Done Survey</v>
      </c>
    </row>
    <row r="266" spans="1:21" x14ac:dyDescent="0.25">
      <c r="A266">
        <f>Sheet1!A266</f>
        <v>265</v>
      </c>
      <c r="B266" t="str">
        <f>Sheet1!B266</f>
        <v>SEMARANG</v>
      </c>
      <c r="C266" t="str">
        <f>Sheet1!C266</f>
        <v>KAERI TRI MIRAWANTO</v>
      </c>
      <c r="D266" t="str">
        <f>Sheet1!D266</f>
        <v>ODRNO2607200041</v>
      </c>
      <c r="E266" t="str">
        <f>Sheet1!E266</f>
        <v>816PRS20260700634</v>
      </c>
      <c r="F266" t="str">
        <f>Sheet1!F266</f>
        <v>Sales Agent (SA)</v>
      </c>
      <c r="G266">
        <f>Sheet1!G266</f>
        <v>0</v>
      </c>
      <c r="H266">
        <f>Sheet1!H266</f>
        <v>0</v>
      </c>
      <c r="I266" t="str">
        <f>Sheet1!I266</f>
        <v>SIGIT SUBEKTI</v>
      </c>
      <c r="J266" s="2">
        <f>Sheet1!K266</f>
        <v>46223.341690659698</v>
      </c>
      <c r="K266" s="2">
        <f>Sheet1!L266</f>
        <v>46223.757600034704</v>
      </c>
      <c r="L266" t="str">
        <f>Sheet1!M266</f>
        <v>Must Edit Prospect on Confins</v>
      </c>
      <c r="M266" t="str">
        <f>Sheet1!P266</f>
        <v>TOYOTA</v>
      </c>
      <c r="N266" t="str">
        <f>Sheet1!Q266</f>
        <v>2017</v>
      </c>
      <c r="O266">
        <f>Sheet1!AB266</f>
        <v>0</v>
      </c>
      <c r="P266" s="2">
        <f>Sheet1!AD266</f>
        <v>0</v>
      </c>
      <c r="Q266" t="str">
        <f>Sheet1!AI266</f>
        <v>ARDIAN KUSUMA ATMAJA-0726004</v>
      </c>
      <c r="R266" t="str">
        <f>Sheet1!AJ266</f>
        <v/>
      </c>
      <c r="S266" t="str">
        <f>Sheet1!AK266</f>
        <v>In Proses</v>
      </c>
      <c r="T266" t="str">
        <f>Sheet1!AL266</f>
        <v>SA</v>
      </c>
      <c r="U266">
        <f t="shared" si="4"/>
        <v>0</v>
      </c>
    </row>
    <row r="267" spans="1:21" x14ac:dyDescent="0.25">
      <c r="A267">
        <f>Sheet1!A267</f>
        <v>266</v>
      </c>
      <c r="B267" t="str">
        <f>Sheet1!B267</f>
        <v>SEMARANG</v>
      </c>
      <c r="C267" t="str">
        <f>Sheet1!C267</f>
        <v>REKNO WIJATI</v>
      </c>
      <c r="D267" t="str">
        <f>Sheet1!D267</f>
        <v>ODRNO2607200141</v>
      </c>
      <c r="E267" t="str">
        <f>Sheet1!E267</f>
        <v>816PRS20260700636</v>
      </c>
      <c r="F267" t="str">
        <f>Sheet1!F267</f>
        <v>Sales Agent (SA)</v>
      </c>
      <c r="G267">
        <f>Sheet1!G267</f>
        <v>0</v>
      </c>
      <c r="H267">
        <f>Sheet1!H267</f>
        <v>0</v>
      </c>
      <c r="I267" t="str">
        <f>Sheet1!I267</f>
        <v>SIGIT SUBEKTI</v>
      </c>
      <c r="J267" s="2">
        <f>Sheet1!K267</f>
        <v>46223.500597685197</v>
      </c>
      <c r="K267" s="2">
        <f>Sheet1!L267</f>
        <v>46223.758323645801</v>
      </c>
      <c r="L267" t="str">
        <f>Sheet1!M267</f>
        <v>Must Edit Prospect on Confins</v>
      </c>
      <c r="M267" t="str">
        <f>Sheet1!P267</f>
        <v>DAIHATSU</v>
      </c>
      <c r="N267" t="str">
        <f>Sheet1!Q267</f>
        <v>2019</v>
      </c>
      <c r="O267">
        <f>Sheet1!AB267</f>
        <v>0</v>
      </c>
      <c r="P267" s="2">
        <f>Sheet1!AD267</f>
        <v>0</v>
      </c>
      <c r="Q267" t="str">
        <f>Sheet1!AI267</f>
        <v>MUHAMAD SOLIKIN-226139</v>
      </c>
      <c r="R267" t="str">
        <f>Sheet1!AJ267</f>
        <v/>
      </c>
      <c r="S267" t="str">
        <f>Sheet1!AK267</f>
        <v>In Proses</v>
      </c>
      <c r="T267" t="str">
        <f>Sheet1!AL267</f>
        <v>SA</v>
      </c>
      <c r="U267">
        <f t="shared" si="4"/>
        <v>0</v>
      </c>
    </row>
    <row r="268" spans="1:21" x14ac:dyDescent="0.25">
      <c r="A268">
        <f>Sheet1!A268</f>
        <v>267</v>
      </c>
      <c r="B268" t="str">
        <f>Sheet1!B268</f>
        <v>BANDUNG</v>
      </c>
      <c r="C268" t="str">
        <f>Sheet1!C268</f>
        <v>ASEP WAWAN</v>
      </c>
      <c r="D268" t="str">
        <f>Sheet1!D268</f>
        <v>ODRNO2607210019</v>
      </c>
      <c r="E268" t="str">
        <f>Sheet1!E268</f>
        <v>813PRS20260705507</v>
      </c>
      <c r="F268" t="str">
        <f>Sheet1!F268</f>
        <v>Sales Agent (SA)</v>
      </c>
      <c r="G268" t="str">
        <f>Sheet1!G268</f>
        <v>8131022600016</v>
      </c>
      <c r="H268" t="str">
        <f>Sheet1!H268</f>
        <v>813APP20260700108</v>
      </c>
      <c r="I268" t="str">
        <f>Sheet1!I268</f>
        <v>RAMDHAN FIRMANSYAH</v>
      </c>
      <c r="J268" s="2">
        <f>Sheet1!K268</f>
        <v>46224.370535682901</v>
      </c>
      <c r="K268" s="2">
        <f>Sheet1!L268</f>
        <v>46224.717543831001</v>
      </c>
      <c r="L268" t="str">
        <f>Sheet1!M268</f>
        <v>Go Live</v>
      </c>
      <c r="M268" t="str">
        <f>Sheet1!P268</f>
        <v>TOYOTA</v>
      </c>
      <c r="N268" t="str">
        <f>Sheet1!Q268</f>
        <v>2014</v>
      </c>
      <c r="O268">
        <f>Sheet1!AB268</f>
        <v>192000000</v>
      </c>
      <c r="P268" s="2">
        <f>Sheet1!AD268</f>
        <v>46224</v>
      </c>
      <c r="Q268" t="str">
        <f>Sheet1!AI268</f>
        <v>DWI HARTO-226039</v>
      </c>
      <c r="R268" t="str">
        <f>Sheet1!AJ268</f>
        <v/>
      </c>
      <c r="S268" t="str">
        <f>Sheet1!AK268</f>
        <v>Golive</v>
      </c>
      <c r="T268" t="str">
        <f>Sheet1!AL268</f>
        <v>SA</v>
      </c>
      <c r="U268" t="str">
        <f t="shared" si="4"/>
        <v>Done Survey</v>
      </c>
    </row>
    <row r="269" spans="1:21" x14ac:dyDescent="0.25">
      <c r="A269">
        <f>Sheet1!A269</f>
        <v>268</v>
      </c>
      <c r="B269" t="str">
        <f>Sheet1!B269</f>
        <v>BANDUNG</v>
      </c>
      <c r="C269" t="str">
        <f>Sheet1!C269</f>
        <v>Ivan Prabumi</v>
      </c>
      <c r="D269" t="str">
        <f>Sheet1!D269</f>
        <v>ODRNO2607210093</v>
      </c>
      <c r="E269" t="str">
        <f>Sheet1!E269</f>
        <v>813PRS20260705512</v>
      </c>
      <c r="F269" t="str">
        <f>Sheet1!F269</f>
        <v>Sales Agent (SA)</v>
      </c>
      <c r="G269">
        <f>Sheet1!G269</f>
        <v>0</v>
      </c>
      <c r="H269">
        <f>Sheet1!H269</f>
        <v>0</v>
      </c>
      <c r="I269" t="str">
        <f>Sheet1!I269</f>
        <v>RISKI DALNI</v>
      </c>
      <c r="J269" s="2">
        <f>Sheet1!K269</f>
        <v>46224.442850115702</v>
      </c>
      <c r="K269" s="2">
        <f>Sheet1!L269</f>
        <v>46224.466485648103</v>
      </c>
      <c r="L269" t="str">
        <f>Sheet1!M269</f>
        <v>Prospect Cancel</v>
      </c>
      <c r="M269" t="str">
        <f>Sheet1!P269</f>
        <v>BYD</v>
      </c>
      <c r="N269" t="str">
        <f>Sheet1!Q269</f>
        <v>2025</v>
      </c>
      <c r="O269">
        <f>Sheet1!AB269</f>
        <v>0</v>
      </c>
      <c r="P269" s="2">
        <f>Sheet1!AD269</f>
        <v>0</v>
      </c>
      <c r="Q269" t="str">
        <f>Sheet1!AI269</f>
        <v>AHMAD ZAENI-0626025</v>
      </c>
      <c r="R269" t="str">
        <f>Sheet1!AJ269</f>
        <v/>
      </c>
      <c r="S269" t="str">
        <f>Sheet1!AK269</f>
        <v>Cancel</v>
      </c>
      <c r="T269" t="str">
        <f>Sheet1!AL269</f>
        <v>SA</v>
      </c>
      <c r="U269">
        <f t="shared" si="4"/>
        <v>0</v>
      </c>
    </row>
    <row r="270" spans="1:21" x14ac:dyDescent="0.25">
      <c r="A270">
        <f>Sheet1!A270</f>
        <v>269</v>
      </c>
      <c r="B270" t="str">
        <f>Sheet1!B270</f>
        <v>BANDUNG</v>
      </c>
      <c r="C270" t="str">
        <f>Sheet1!C270</f>
        <v>AYI HIDAYAT</v>
      </c>
      <c r="D270" t="str">
        <f>Sheet1!D270</f>
        <v>ODRNO2607210187</v>
      </c>
      <c r="E270" t="str">
        <f>Sheet1!E270</f>
        <v>813PRS20260705521</v>
      </c>
      <c r="F270" t="str">
        <f>Sheet1!F270</f>
        <v>Sales Agent (SA)</v>
      </c>
      <c r="G270">
        <f>Sheet1!G270</f>
        <v>0</v>
      </c>
      <c r="H270">
        <f>Sheet1!H270</f>
        <v>0</v>
      </c>
      <c r="I270" t="str">
        <f>Sheet1!I270</f>
        <v>RAMDHAN FIRMANSYAH</v>
      </c>
      <c r="J270" s="2">
        <f>Sheet1!K270</f>
        <v>46224.627861076398</v>
      </c>
      <c r="K270" s="2">
        <f>Sheet1!L270</f>
        <v>46232.333340428202</v>
      </c>
      <c r="L270" t="str">
        <f>Sheet1!M270</f>
        <v>Prospect Cancel</v>
      </c>
      <c r="M270" t="str">
        <f>Sheet1!P270</f>
        <v>TOYOTA</v>
      </c>
      <c r="N270" t="str">
        <f>Sheet1!Q270</f>
        <v>2017</v>
      </c>
      <c r="O270">
        <f>Sheet1!AB270</f>
        <v>0</v>
      </c>
      <c r="P270" s="2">
        <f>Sheet1!AD270</f>
        <v>0</v>
      </c>
      <c r="Q270" t="str">
        <f>Sheet1!AI270</f>
        <v>ENJANG SOPIAN-0726070</v>
      </c>
      <c r="R270" t="str">
        <f>Sheet1!AJ270</f>
        <v/>
      </c>
      <c r="S270" t="str">
        <f>Sheet1!AK270</f>
        <v>Cancel</v>
      </c>
      <c r="T270" t="str">
        <f>Sheet1!AL270</f>
        <v>SA</v>
      </c>
      <c r="U270">
        <f t="shared" si="4"/>
        <v>0</v>
      </c>
    </row>
    <row r="271" spans="1:21" x14ac:dyDescent="0.25">
      <c r="A271">
        <f>Sheet1!A271</f>
        <v>270</v>
      </c>
      <c r="B271" t="str">
        <f>Sheet1!B271</f>
        <v>BANDUNG</v>
      </c>
      <c r="C271" t="str">
        <f>Sheet1!C271</f>
        <v>Rina Haerani</v>
      </c>
      <c r="D271" t="str">
        <f>Sheet1!D271</f>
        <v>ODRNO2607210200</v>
      </c>
      <c r="E271" t="str">
        <f>Sheet1!E271</f>
        <v>813PRS20260705523</v>
      </c>
      <c r="F271" t="str">
        <f>Sheet1!F271</f>
        <v>Sales Agent (SA)</v>
      </c>
      <c r="G271">
        <f>Sheet1!G271</f>
        <v>0</v>
      </c>
      <c r="H271">
        <f>Sheet1!H271</f>
        <v>0</v>
      </c>
      <c r="I271" t="str">
        <f>Sheet1!I271</f>
        <v>RISKI DALNI</v>
      </c>
      <c r="J271" s="2">
        <f>Sheet1!K271</f>
        <v>46224.654473877301</v>
      </c>
      <c r="K271" s="2">
        <f>Sheet1!L271</f>
        <v>46232.333340428202</v>
      </c>
      <c r="L271" t="str">
        <f>Sheet1!M271</f>
        <v>Prospect Cancel</v>
      </c>
      <c r="M271" t="str">
        <f>Sheet1!P271</f>
        <v>HONDA</v>
      </c>
      <c r="N271" t="str">
        <f>Sheet1!Q271</f>
        <v>2017</v>
      </c>
      <c r="O271">
        <f>Sheet1!AB271</f>
        <v>0</v>
      </c>
      <c r="P271" s="2">
        <f>Sheet1!AD271</f>
        <v>0</v>
      </c>
      <c r="Q271" t="str">
        <f>Sheet1!AI271</f>
        <v>GILMAN MUGHNI-0626031</v>
      </c>
      <c r="R271" t="str">
        <f>Sheet1!AJ271</f>
        <v/>
      </c>
      <c r="S271" t="str">
        <f>Sheet1!AK271</f>
        <v>Cancel</v>
      </c>
      <c r="T271" t="str">
        <f>Sheet1!AL271</f>
        <v>SA</v>
      </c>
      <c r="U271">
        <f t="shared" si="4"/>
        <v>0</v>
      </c>
    </row>
    <row r="272" spans="1:21" x14ac:dyDescent="0.25">
      <c r="A272">
        <f>Sheet1!A272</f>
        <v>271</v>
      </c>
      <c r="B272" t="str">
        <f>Sheet1!B272</f>
        <v>BANDUNG</v>
      </c>
      <c r="C272" t="str">
        <f>Sheet1!C272</f>
        <v>Amud Sahmudin Spd i</v>
      </c>
      <c r="D272" t="str">
        <f>Sheet1!D272</f>
        <v>ODRNO2607210201</v>
      </c>
      <c r="E272" t="str">
        <f>Sheet1!E272</f>
        <v>813PRS20260705524</v>
      </c>
      <c r="F272" t="str">
        <f>Sheet1!F272</f>
        <v>Sales Agent (SA)</v>
      </c>
      <c r="G272">
        <f>Sheet1!G272</f>
        <v>0</v>
      </c>
      <c r="H272">
        <f>Sheet1!H272</f>
        <v>0</v>
      </c>
      <c r="I272" t="str">
        <f>Sheet1!I272</f>
        <v>RISKI DALNI</v>
      </c>
      <c r="J272" s="2">
        <f>Sheet1!K272</f>
        <v>46224.658134641199</v>
      </c>
      <c r="K272" s="2">
        <f>Sheet1!L272</f>
        <v>46224.671358067098</v>
      </c>
      <c r="L272" t="str">
        <f>Sheet1!M272</f>
        <v>Prospect Cancel</v>
      </c>
      <c r="M272" t="str">
        <f>Sheet1!P272</f>
        <v>TOYOTA</v>
      </c>
      <c r="N272" t="str">
        <f>Sheet1!Q272</f>
        <v>2017</v>
      </c>
      <c r="O272">
        <f>Sheet1!AB272</f>
        <v>0</v>
      </c>
      <c r="P272" s="2">
        <f>Sheet1!AD272</f>
        <v>0</v>
      </c>
      <c r="Q272" t="str">
        <f>Sheet1!AI272</f>
        <v>ARIF AJI HARNIKO-0726009</v>
      </c>
      <c r="R272" t="str">
        <f>Sheet1!AJ272</f>
        <v/>
      </c>
      <c r="S272" t="str">
        <f>Sheet1!AK272</f>
        <v>Cancel</v>
      </c>
      <c r="T272" t="str">
        <f>Sheet1!AL272</f>
        <v>SA</v>
      </c>
      <c r="U272">
        <f t="shared" si="4"/>
        <v>0</v>
      </c>
    </row>
    <row r="273" spans="1:21" x14ac:dyDescent="0.25">
      <c r="A273">
        <f>Sheet1!A273</f>
        <v>272</v>
      </c>
      <c r="B273" t="str">
        <f>Sheet1!B273</f>
        <v>BANDUNG</v>
      </c>
      <c r="C273" t="str">
        <f>Sheet1!C273</f>
        <v>Dendy Rizaldi</v>
      </c>
      <c r="D273" t="str">
        <f>Sheet1!D273</f>
        <v>ODRNO2607210205</v>
      </c>
      <c r="E273" t="str">
        <f>Sheet1!E273</f>
        <v>813PRS20260705526</v>
      </c>
      <c r="F273" t="str">
        <f>Sheet1!F273</f>
        <v>Sales Agent (SA)</v>
      </c>
      <c r="G273">
        <f>Sheet1!G273</f>
        <v>0</v>
      </c>
      <c r="H273">
        <f>Sheet1!H273</f>
        <v>0</v>
      </c>
      <c r="I273" t="str">
        <f>Sheet1!I273</f>
        <v>RISKI DALNI</v>
      </c>
      <c r="J273" s="2">
        <f>Sheet1!K273</f>
        <v>46224.662919294002</v>
      </c>
      <c r="K273" s="2">
        <f>Sheet1!L273</f>
        <v>46232.333340428202</v>
      </c>
      <c r="L273" t="str">
        <f>Sheet1!M273</f>
        <v>Prospect Cancel</v>
      </c>
      <c r="M273" t="str">
        <f>Sheet1!P273</f>
        <v>HONDA</v>
      </c>
      <c r="N273" t="str">
        <f>Sheet1!Q273</f>
        <v>2017</v>
      </c>
      <c r="O273">
        <f>Sheet1!AB273</f>
        <v>0</v>
      </c>
      <c r="P273" s="2">
        <f>Sheet1!AD273</f>
        <v>0</v>
      </c>
      <c r="Q273" t="str">
        <f>Sheet1!AI273</f>
        <v>HANAN MULYANA-0626048</v>
      </c>
      <c r="R273" t="str">
        <f>Sheet1!AJ273</f>
        <v/>
      </c>
      <c r="S273" t="str">
        <f>Sheet1!AK273</f>
        <v>Cancel</v>
      </c>
      <c r="T273" t="str">
        <f>Sheet1!AL273</f>
        <v>SA</v>
      </c>
      <c r="U273">
        <f t="shared" si="4"/>
        <v>0</v>
      </c>
    </row>
    <row r="274" spans="1:21" x14ac:dyDescent="0.25">
      <c r="A274">
        <f>Sheet1!A274</f>
        <v>273</v>
      </c>
      <c r="B274" t="str">
        <f>Sheet1!B274</f>
        <v>BANDUNG</v>
      </c>
      <c r="C274" t="str">
        <f>Sheet1!C274</f>
        <v>IVAN PRABUMI</v>
      </c>
      <c r="D274" t="str">
        <f>Sheet1!D274</f>
        <v>ODRNO2607210249</v>
      </c>
      <c r="E274" t="str">
        <f>Sheet1!E274</f>
        <v>813PRS20260705532</v>
      </c>
      <c r="F274" t="str">
        <f>Sheet1!F274</f>
        <v>Sales Agent (SA)</v>
      </c>
      <c r="G274" t="str">
        <f>Sheet1!G274</f>
        <v>8131022600017</v>
      </c>
      <c r="H274" t="str">
        <f>Sheet1!H274</f>
        <v>813APP20260700114</v>
      </c>
      <c r="I274" t="str">
        <f>Sheet1!I274</f>
        <v>RAMDHAN FIRMANSYAH</v>
      </c>
      <c r="J274" s="2">
        <f>Sheet1!K274</f>
        <v>46224.789760532403</v>
      </c>
      <c r="K274" s="2">
        <f>Sheet1!L274</f>
        <v>46226.3903545949</v>
      </c>
      <c r="L274" t="str">
        <f>Sheet1!M274</f>
        <v>Go Live</v>
      </c>
      <c r="M274" t="str">
        <f>Sheet1!P274</f>
        <v>BYD</v>
      </c>
      <c r="N274" t="str">
        <f>Sheet1!Q274</f>
        <v>2025</v>
      </c>
      <c r="O274">
        <f>Sheet1!AB274</f>
        <v>68111000</v>
      </c>
      <c r="P274" s="2">
        <f>Sheet1!AD274</f>
        <v>46225</v>
      </c>
      <c r="Q274" t="str">
        <f>Sheet1!AI274</f>
        <v>AHMAD ZAENI-0626025</v>
      </c>
      <c r="R274" t="str">
        <f>Sheet1!AJ274</f>
        <v/>
      </c>
      <c r="S274" t="str">
        <f>Sheet1!AK274</f>
        <v>Golive</v>
      </c>
      <c r="T274" t="str">
        <f>Sheet1!AL274</f>
        <v>SA</v>
      </c>
      <c r="U274" t="str">
        <f t="shared" si="4"/>
        <v>Done Survey</v>
      </c>
    </row>
    <row r="275" spans="1:21" x14ac:dyDescent="0.25">
      <c r="A275">
        <f>Sheet1!A275</f>
        <v>274</v>
      </c>
      <c r="B275" t="str">
        <f>Sheet1!B275</f>
        <v>BEKASI</v>
      </c>
      <c r="C275" t="str">
        <f>Sheet1!C275</f>
        <v>MEIRIANA</v>
      </c>
      <c r="D275" t="str">
        <f>Sheet1!D275</f>
        <v>ODRNO2607210099</v>
      </c>
      <c r="E275" t="str">
        <f>Sheet1!E275</f>
        <v>811PRS20260704928</v>
      </c>
      <c r="F275" t="str">
        <f>Sheet1!F275</f>
        <v>Telemarketing Program</v>
      </c>
      <c r="G275" t="str">
        <f>Sheet1!G275</f>
        <v>8111022600028</v>
      </c>
      <c r="H275" t="str">
        <f>Sheet1!H275</f>
        <v>811APP20260700119</v>
      </c>
      <c r="I275" t="str">
        <f>Sheet1!I275</f>
        <v>KURNIAWAN ARIBOWO</v>
      </c>
      <c r="J275" s="2">
        <f>Sheet1!K275</f>
        <v>46224.449463773097</v>
      </c>
      <c r="K275" s="2">
        <f>Sheet1!L275</f>
        <v>46225.699963275503</v>
      </c>
      <c r="L275" t="str">
        <f>Sheet1!M275</f>
        <v>Go Live</v>
      </c>
      <c r="M275" t="str">
        <f>Sheet1!P275</f>
        <v>HONDA</v>
      </c>
      <c r="N275" t="str">
        <f>Sheet1!Q275</f>
        <v>2011</v>
      </c>
      <c r="O275">
        <f>Sheet1!AB275</f>
        <v>74235100</v>
      </c>
      <c r="P275" s="2">
        <f>Sheet1!AD275</f>
        <v>46225</v>
      </c>
      <c r="Q275">
        <f>Sheet1!AI275</f>
        <v>0</v>
      </c>
      <c r="R275">
        <f>Sheet1!AJ275</f>
        <v>0</v>
      </c>
      <c r="S275" t="str">
        <f>Sheet1!AK275</f>
        <v>Golive</v>
      </c>
      <c r="T275" t="str">
        <f>Sheet1!AL275</f>
        <v>Tele</v>
      </c>
      <c r="U275" t="str">
        <f t="shared" si="4"/>
        <v>Done Survey</v>
      </c>
    </row>
    <row r="276" spans="1:21" x14ac:dyDescent="0.25">
      <c r="A276">
        <f>Sheet1!A276</f>
        <v>275</v>
      </c>
      <c r="B276" t="str">
        <f>Sheet1!B276</f>
        <v>BOGOR</v>
      </c>
      <c r="C276" t="str">
        <f>Sheet1!C276</f>
        <v>ZALFA ZAHIRAH ADHANIA SE</v>
      </c>
      <c r="D276" t="str">
        <f>Sheet1!D276</f>
        <v>ODRNO2607210067</v>
      </c>
      <c r="E276" t="str">
        <f>Sheet1!E276</f>
        <v>812PRS20260701405</v>
      </c>
      <c r="F276" t="str">
        <f>Sheet1!F276</f>
        <v>Sales Agent (SA)</v>
      </c>
      <c r="G276">
        <f>Sheet1!G276</f>
        <v>0</v>
      </c>
      <c r="H276">
        <f>Sheet1!H276</f>
        <v>0</v>
      </c>
      <c r="I276" t="str">
        <f>Sheet1!I276</f>
        <v>EKA SUNARYO</v>
      </c>
      <c r="J276" s="2">
        <f>Sheet1!K276</f>
        <v>46224.417100775499</v>
      </c>
      <c r="K276" s="2">
        <f>Sheet1!L276</f>
        <v>46224.445618321799</v>
      </c>
      <c r="L276" t="str">
        <f>Sheet1!M276</f>
        <v>Prospect Cancel</v>
      </c>
      <c r="M276" t="str">
        <f>Sheet1!P276</f>
        <v>HONDA</v>
      </c>
      <c r="N276" t="str">
        <f>Sheet1!Q276</f>
        <v>2017</v>
      </c>
      <c r="O276">
        <f>Sheet1!AB276</f>
        <v>0</v>
      </c>
      <c r="P276" s="2">
        <f>Sheet1!AD276</f>
        <v>0</v>
      </c>
      <c r="Q276" t="str">
        <f>Sheet1!AI276</f>
        <v>ADITHYA ARIA NUGRAHA-226218</v>
      </c>
      <c r="R276" t="str">
        <f>Sheet1!AJ276</f>
        <v/>
      </c>
      <c r="S276" t="str">
        <f>Sheet1!AK276</f>
        <v>Cancel</v>
      </c>
      <c r="T276" t="str">
        <f>Sheet1!AL276</f>
        <v>SA</v>
      </c>
      <c r="U276">
        <f t="shared" si="4"/>
        <v>0</v>
      </c>
    </row>
    <row r="277" spans="1:21" x14ac:dyDescent="0.25">
      <c r="A277">
        <f>Sheet1!A277</f>
        <v>276</v>
      </c>
      <c r="B277" t="str">
        <f>Sheet1!B277</f>
        <v>BOGOR</v>
      </c>
      <c r="C277" t="str">
        <f>Sheet1!C277</f>
        <v>USEP SAEPUL ALAM</v>
      </c>
      <c r="D277" t="str">
        <f>Sheet1!D277</f>
        <v>ODRNO2607210177</v>
      </c>
      <c r="E277" t="str">
        <f>Sheet1!E277</f>
        <v>812PRS20260701408</v>
      </c>
      <c r="F277" t="str">
        <f>Sheet1!F277</f>
        <v>Sales Agent (SA)</v>
      </c>
      <c r="G277">
        <f>Sheet1!G277</f>
        <v>0</v>
      </c>
      <c r="H277">
        <f>Sheet1!H277</f>
        <v>0</v>
      </c>
      <c r="I277" t="str">
        <f>Sheet1!I277</f>
        <v>SENJAYA BUDIMAN</v>
      </c>
      <c r="J277" s="2">
        <f>Sheet1!K277</f>
        <v>46224.599624421302</v>
      </c>
      <c r="K277" s="2">
        <f>Sheet1!L277</f>
        <v>46237.333353668997</v>
      </c>
      <c r="L277" t="str">
        <f>Sheet1!M277</f>
        <v>Prospect Cancel</v>
      </c>
      <c r="M277" t="str">
        <f>Sheet1!P277</f>
        <v>DAIHATSU</v>
      </c>
      <c r="N277" t="str">
        <f>Sheet1!Q277</f>
        <v>2008</v>
      </c>
      <c r="O277">
        <f>Sheet1!AB277</f>
        <v>0</v>
      </c>
      <c r="P277" s="2">
        <f>Sheet1!AD277</f>
        <v>0</v>
      </c>
      <c r="Q277" t="str">
        <f>Sheet1!AI277</f>
        <v>TIO PUTRA UTAMA-0626006</v>
      </c>
      <c r="R277" t="str">
        <f>Sheet1!AJ277</f>
        <v/>
      </c>
      <c r="S277" t="str">
        <f>Sheet1!AK277</f>
        <v>Cancel</v>
      </c>
      <c r="T277" t="str">
        <f>Sheet1!AL277</f>
        <v>SA</v>
      </c>
      <c r="U277">
        <f t="shared" si="4"/>
        <v>0</v>
      </c>
    </row>
    <row r="278" spans="1:21" x14ac:dyDescent="0.25">
      <c r="A278">
        <f>Sheet1!A278</f>
        <v>277</v>
      </c>
      <c r="B278" t="str">
        <f>Sheet1!B278</f>
        <v>BOGOR</v>
      </c>
      <c r="C278" t="str">
        <f>Sheet1!C278</f>
        <v>DHIYA FAZA YUNIAR</v>
      </c>
      <c r="D278" t="str">
        <f>Sheet1!D278</f>
        <v>ODRNO2607210190</v>
      </c>
      <c r="E278" t="str">
        <f>Sheet1!E278</f>
        <v>812PRS20260701409</v>
      </c>
      <c r="F278" t="str">
        <f>Sheet1!F278</f>
        <v>Sales Agent (SA)</v>
      </c>
      <c r="G278">
        <f>Sheet1!G278</f>
        <v>0</v>
      </c>
      <c r="H278">
        <f>Sheet1!H278</f>
        <v>0</v>
      </c>
      <c r="I278" t="str">
        <f>Sheet1!I278</f>
        <v>EKA SUNARYO</v>
      </c>
      <c r="J278" s="2">
        <f>Sheet1!K278</f>
        <v>46224.631578125001</v>
      </c>
      <c r="K278" s="2">
        <f>Sheet1!L278</f>
        <v>46224.643419409702</v>
      </c>
      <c r="L278" t="str">
        <f>Sheet1!M278</f>
        <v>Prospect Cancel</v>
      </c>
      <c r="M278" t="str">
        <f>Sheet1!P278</f>
        <v>HYUNDAI</v>
      </c>
      <c r="N278" t="str">
        <f>Sheet1!Q278</f>
        <v>2022</v>
      </c>
      <c r="O278">
        <f>Sheet1!AB278</f>
        <v>0</v>
      </c>
      <c r="P278" s="2">
        <f>Sheet1!AD278</f>
        <v>0</v>
      </c>
      <c r="Q278" t="str">
        <f>Sheet1!AI278</f>
        <v>FAJAR NUROCHMAN-0726074</v>
      </c>
      <c r="R278" t="str">
        <f>Sheet1!AJ278</f>
        <v/>
      </c>
      <c r="S278" t="str">
        <f>Sheet1!AK278</f>
        <v>Cancel</v>
      </c>
      <c r="T278" t="str">
        <f>Sheet1!AL278</f>
        <v>SA</v>
      </c>
      <c r="U278">
        <f t="shared" si="4"/>
        <v>0</v>
      </c>
    </row>
    <row r="279" spans="1:21" x14ac:dyDescent="0.25">
      <c r="A279">
        <f>Sheet1!A279</f>
        <v>278</v>
      </c>
      <c r="B279" t="str">
        <f>Sheet1!B279</f>
        <v>FATMAWATI</v>
      </c>
      <c r="C279" t="str">
        <f>Sheet1!C279</f>
        <v>HARI WIBOWO</v>
      </c>
      <c r="D279" t="str">
        <f>Sheet1!D279</f>
        <v>ODRNO2607210081</v>
      </c>
      <c r="E279" t="str">
        <f>Sheet1!E279</f>
        <v>802PRS20260702375</v>
      </c>
      <c r="F279" t="str">
        <f>Sheet1!F279</f>
        <v>Sales Agent (SA)</v>
      </c>
      <c r="G279">
        <f>Sheet1!G279</f>
        <v>0</v>
      </c>
      <c r="H279">
        <f>Sheet1!H279</f>
        <v>0</v>
      </c>
      <c r="I279" t="str">
        <f>Sheet1!I279</f>
        <v>RIZQI APRIANSYAH</v>
      </c>
      <c r="J279" s="2">
        <f>Sheet1!K279</f>
        <v>46224.435584687497</v>
      </c>
      <c r="K279" s="2">
        <f>Sheet1!L279</f>
        <v>46232.333340428202</v>
      </c>
      <c r="L279" t="str">
        <f>Sheet1!M279</f>
        <v>Prospect Cancel</v>
      </c>
      <c r="M279" t="str">
        <f>Sheet1!P279</f>
        <v>HONDA</v>
      </c>
      <c r="N279" t="str">
        <f>Sheet1!Q279</f>
        <v>2016</v>
      </c>
      <c r="O279">
        <f>Sheet1!AB279</f>
        <v>0</v>
      </c>
      <c r="P279" s="2">
        <f>Sheet1!AD279</f>
        <v>0</v>
      </c>
      <c r="Q279" t="str">
        <f>Sheet1!AI279</f>
        <v>ASEP RUSLI HIDAYAT M-0726018</v>
      </c>
      <c r="R279" t="str">
        <f>Sheet1!AJ279</f>
        <v/>
      </c>
      <c r="S279" t="str">
        <f>Sheet1!AK279</f>
        <v>Cancel</v>
      </c>
      <c r="T279" t="str">
        <f>Sheet1!AL279</f>
        <v>SA</v>
      </c>
      <c r="U279">
        <f t="shared" si="4"/>
        <v>0</v>
      </c>
    </row>
    <row r="280" spans="1:21" x14ac:dyDescent="0.25">
      <c r="A280">
        <f>Sheet1!A280</f>
        <v>279</v>
      </c>
      <c r="B280" t="str">
        <f>Sheet1!B280</f>
        <v>FATMAWATI</v>
      </c>
      <c r="C280" t="str">
        <f>Sheet1!C280</f>
        <v>PRAPTI DWI LESTARI</v>
      </c>
      <c r="D280" t="str">
        <f>Sheet1!D280</f>
        <v>ODRNO2607210097</v>
      </c>
      <c r="E280" t="str">
        <f>Sheet1!E280</f>
        <v>802PRS20260702377</v>
      </c>
      <c r="F280" t="str">
        <f>Sheet1!F280</f>
        <v>Sales Agent (SA)</v>
      </c>
      <c r="G280">
        <f>Sheet1!G280</f>
        <v>0</v>
      </c>
      <c r="H280">
        <f>Sheet1!H280</f>
        <v>0</v>
      </c>
      <c r="I280" t="str">
        <f>Sheet1!I280</f>
        <v>RIZQI APRIANSYAH</v>
      </c>
      <c r="J280" s="2">
        <f>Sheet1!K280</f>
        <v>46224.447655358803</v>
      </c>
      <c r="K280" s="2">
        <f>Sheet1!L280</f>
        <v>46224.466500844901</v>
      </c>
      <c r="L280" t="str">
        <f>Sheet1!M280</f>
        <v>Prospect Cancel</v>
      </c>
      <c r="M280" t="str">
        <f>Sheet1!P280</f>
        <v>TOYOTA</v>
      </c>
      <c r="N280" t="str">
        <f>Sheet1!Q280</f>
        <v>2018</v>
      </c>
      <c r="O280">
        <f>Sheet1!AB280</f>
        <v>0</v>
      </c>
      <c r="P280" s="2">
        <f>Sheet1!AD280</f>
        <v>0</v>
      </c>
      <c r="Q280" t="str">
        <f>Sheet1!AI280</f>
        <v>SANDHY BUDIARJO-0726019</v>
      </c>
      <c r="R280" t="str">
        <f>Sheet1!AJ280</f>
        <v/>
      </c>
      <c r="S280" t="str">
        <f>Sheet1!AK280</f>
        <v>Cancel</v>
      </c>
      <c r="T280" t="str">
        <f>Sheet1!AL280</f>
        <v>SA</v>
      </c>
      <c r="U280">
        <f t="shared" si="4"/>
        <v>0</v>
      </c>
    </row>
    <row r="281" spans="1:21" x14ac:dyDescent="0.25">
      <c r="A281">
        <f>Sheet1!A281</f>
        <v>280</v>
      </c>
      <c r="B281" t="str">
        <f>Sheet1!B281</f>
        <v>KEMAYORAN</v>
      </c>
      <c r="C281" t="str">
        <f>Sheet1!C281</f>
        <v>Neneng Syarifah</v>
      </c>
      <c r="D281" t="str">
        <f>Sheet1!D281</f>
        <v>ODRNO2607210169</v>
      </c>
      <c r="E281" t="str">
        <f>Sheet1!E281</f>
        <v>801PRS20260700930</v>
      </c>
      <c r="F281" t="str">
        <f>Sheet1!F281</f>
        <v>Sales Agent (SA)</v>
      </c>
      <c r="G281">
        <f>Sheet1!G281</f>
        <v>0</v>
      </c>
      <c r="H281">
        <f>Sheet1!H281</f>
        <v>0</v>
      </c>
      <c r="I281" t="str">
        <f>Sheet1!I281</f>
        <v>MUHAMMAD RIZQY KEMAL</v>
      </c>
      <c r="J281" s="2">
        <f>Sheet1!K281</f>
        <v>46224.583949918997</v>
      </c>
      <c r="K281" s="2">
        <f>Sheet1!L281</f>
        <v>46224.591058993101</v>
      </c>
      <c r="L281" t="str">
        <f>Sheet1!M281</f>
        <v>Must Edit Prospect on Confins</v>
      </c>
      <c r="M281" t="str">
        <f>Sheet1!P281</f>
        <v>MITSUBISHI</v>
      </c>
      <c r="N281" t="str">
        <f>Sheet1!Q281</f>
        <v>2023</v>
      </c>
      <c r="O281">
        <f>Sheet1!AB281</f>
        <v>0</v>
      </c>
      <c r="P281" s="2">
        <f>Sheet1!AD281</f>
        <v>0</v>
      </c>
      <c r="Q281" t="str">
        <f>Sheet1!AI281</f>
        <v>FAUZI ARDI-0626035</v>
      </c>
      <c r="R281" t="str">
        <f>Sheet1!AJ281</f>
        <v/>
      </c>
      <c r="S281" t="str">
        <f>Sheet1!AK281</f>
        <v>In Proses</v>
      </c>
      <c r="T281" t="str">
        <f>Sheet1!AL281</f>
        <v>SA</v>
      </c>
      <c r="U281">
        <f t="shared" si="4"/>
        <v>0</v>
      </c>
    </row>
    <row r="282" spans="1:21" x14ac:dyDescent="0.25">
      <c r="A282">
        <f>Sheet1!A282</f>
        <v>281</v>
      </c>
      <c r="B282" t="str">
        <f>Sheet1!B282</f>
        <v>LAMPUNG</v>
      </c>
      <c r="C282" t="str">
        <f>Sheet1!C282</f>
        <v>suhaidi S Sos</v>
      </c>
      <c r="D282" t="str">
        <f>Sheet1!D282</f>
        <v>ODRNO2607210069</v>
      </c>
      <c r="E282" t="str">
        <f>Sheet1!E282</f>
        <v>810PRS20260700729</v>
      </c>
      <c r="F282" t="str">
        <f>Sheet1!F282</f>
        <v>Sales Agent (SA)</v>
      </c>
      <c r="G282">
        <f>Sheet1!G282</f>
        <v>0</v>
      </c>
      <c r="H282" t="str">
        <f>Sheet1!H282</f>
        <v>810APP20260700029</v>
      </c>
      <c r="I282" t="str">
        <f>Sheet1!I282</f>
        <v>AZWAN</v>
      </c>
      <c r="J282" s="2">
        <f>Sheet1!K282</f>
        <v>46224.418188425901</v>
      </c>
      <c r="K282" s="2">
        <f>Sheet1!L282</f>
        <v>46231.512245138903</v>
      </c>
      <c r="L282" t="str">
        <f>Sheet1!M282</f>
        <v>Return Handling</v>
      </c>
      <c r="M282" t="str">
        <f>Sheet1!P282</f>
        <v>TOYOTA</v>
      </c>
      <c r="N282" t="str">
        <f>Sheet1!Q282</f>
        <v>2008</v>
      </c>
      <c r="O282">
        <f>Sheet1!AB282</f>
        <v>0</v>
      </c>
      <c r="P282" s="2">
        <f>Sheet1!AD282</f>
        <v>46230</v>
      </c>
      <c r="Q282" t="str">
        <f>Sheet1!AI282</f>
        <v>DWI SINTA FEBRIANA-126006</v>
      </c>
      <c r="R282" t="str">
        <f>Sheet1!AJ282</f>
        <v/>
      </c>
      <c r="S282" t="str">
        <f>Sheet1!AK282</f>
        <v>In Proses</v>
      </c>
      <c r="T282" t="str">
        <f>Sheet1!AL282</f>
        <v>SA</v>
      </c>
      <c r="U282" t="str">
        <f t="shared" si="4"/>
        <v>Done Survey</v>
      </c>
    </row>
    <row r="283" spans="1:21" x14ac:dyDescent="0.25">
      <c r="A283">
        <f>Sheet1!A283</f>
        <v>282</v>
      </c>
      <c r="B283" t="str">
        <f>Sheet1!B283</f>
        <v>MEDAN DUA</v>
      </c>
      <c r="C283" t="str">
        <f>Sheet1!C283</f>
        <v>HELFIN SINAGA</v>
      </c>
      <c r="D283" t="str">
        <f>Sheet1!D283</f>
        <v>ODRNO2607210059</v>
      </c>
      <c r="E283" t="str">
        <f>Sheet1!E283</f>
        <v>839PRS20260700962</v>
      </c>
      <c r="F283" t="str">
        <f>Sheet1!F283</f>
        <v>Sales Agent (SA)</v>
      </c>
      <c r="G283">
        <f>Sheet1!G283</f>
        <v>0</v>
      </c>
      <c r="H283">
        <f>Sheet1!H283</f>
        <v>0</v>
      </c>
      <c r="I283" t="str">
        <f>Sheet1!I283</f>
        <v>WASTO SIHOMBING</v>
      </c>
      <c r="J283" s="2">
        <f>Sheet1!K283</f>
        <v>46224.4105815972</v>
      </c>
      <c r="K283" s="2">
        <f>Sheet1!L283</f>
        <v>46224.431943553202</v>
      </c>
      <c r="L283" t="str">
        <f>Sheet1!M283</f>
        <v>Prospect Cancel</v>
      </c>
      <c r="M283" t="str">
        <f>Sheet1!P283</f>
        <v>TOYOTA</v>
      </c>
      <c r="N283" t="str">
        <f>Sheet1!Q283</f>
        <v>2019</v>
      </c>
      <c r="O283">
        <f>Sheet1!AB283</f>
        <v>0</v>
      </c>
      <c r="P283" s="2">
        <f>Sheet1!AD283</f>
        <v>0</v>
      </c>
      <c r="Q283" t="str">
        <f>Sheet1!AI283</f>
        <v>JESMON ANDRIKO SINAGA-226043</v>
      </c>
      <c r="R283" t="str">
        <f>Sheet1!AJ283</f>
        <v/>
      </c>
      <c r="S283" t="str">
        <f>Sheet1!AK283</f>
        <v>Cancel</v>
      </c>
      <c r="T283" t="str">
        <f>Sheet1!AL283</f>
        <v>SA</v>
      </c>
      <c r="U283">
        <f t="shared" si="4"/>
        <v>0</v>
      </c>
    </row>
    <row r="284" spans="1:21" x14ac:dyDescent="0.25">
      <c r="A284">
        <f>Sheet1!A284</f>
        <v>283</v>
      </c>
      <c r="B284" t="str">
        <f>Sheet1!B284</f>
        <v>PEKANBARU</v>
      </c>
      <c r="C284" t="str">
        <f>Sheet1!C284</f>
        <v>MARA AMAN HARAHAP</v>
      </c>
      <c r="D284" t="str">
        <f>Sheet1!D284</f>
        <v>ODRNO2607210210</v>
      </c>
      <c r="E284" t="str">
        <f>Sheet1!E284</f>
        <v>805PRS20260702731</v>
      </c>
      <c r="F284" t="str">
        <f>Sheet1!F284</f>
        <v>Sales Agent (SA)</v>
      </c>
      <c r="G284">
        <f>Sheet1!G284</f>
        <v>0</v>
      </c>
      <c r="H284">
        <f>Sheet1!H284</f>
        <v>0</v>
      </c>
      <c r="I284" t="str">
        <f>Sheet1!I284</f>
        <v>MUHAMMAD RIDWAN</v>
      </c>
      <c r="J284" s="2">
        <f>Sheet1!K284</f>
        <v>46224.669417013902</v>
      </c>
      <c r="K284" s="2">
        <f>Sheet1!L284</f>
        <v>46224.680919791703</v>
      </c>
      <c r="L284" t="str">
        <f>Sheet1!M284</f>
        <v>Prospect Cancel</v>
      </c>
      <c r="M284" t="str">
        <f>Sheet1!P284</f>
        <v>TOYOTA</v>
      </c>
      <c r="N284" t="str">
        <f>Sheet1!Q284</f>
        <v>2021</v>
      </c>
      <c r="O284">
        <f>Sheet1!AB284</f>
        <v>0</v>
      </c>
      <c r="P284" s="2">
        <f>Sheet1!AD284</f>
        <v>0</v>
      </c>
      <c r="Q284" t="str">
        <f>Sheet1!AI284</f>
        <v>YAN HERY SHYAPUTRA SIREGAR-226123</v>
      </c>
      <c r="R284" t="str">
        <f>Sheet1!AJ284</f>
        <v/>
      </c>
      <c r="S284" t="str">
        <f>Sheet1!AK284</f>
        <v>Cancel</v>
      </c>
      <c r="T284" t="str">
        <f>Sheet1!AL284</f>
        <v>SA</v>
      </c>
      <c r="U284">
        <f t="shared" si="4"/>
        <v>0</v>
      </c>
    </row>
    <row r="285" spans="1:21" x14ac:dyDescent="0.25">
      <c r="A285">
        <f>Sheet1!A285</f>
        <v>284</v>
      </c>
      <c r="B285" t="str">
        <f>Sheet1!B285</f>
        <v>SUKABUMI</v>
      </c>
      <c r="C285" t="str">
        <f>Sheet1!C285</f>
        <v>MUSLIM PURBA</v>
      </c>
      <c r="D285" t="str">
        <f>Sheet1!D285</f>
        <v>ODRNO2607210114</v>
      </c>
      <c r="E285" t="str">
        <f>Sheet1!E285</f>
        <v>841PRS20260701242</v>
      </c>
      <c r="F285" t="str">
        <f>Sheet1!F285</f>
        <v>Sales Agent (SA)</v>
      </c>
      <c r="G285">
        <f>Sheet1!G285</f>
        <v>0</v>
      </c>
      <c r="H285" t="str">
        <f>Sheet1!H285</f>
        <v>841APP20260700008</v>
      </c>
      <c r="I285" t="str">
        <f>Sheet1!I285</f>
        <v>BAYU SAPUTRA</v>
      </c>
      <c r="J285" s="2">
        <f>Sheet1!K285</f>
        <v>46224.484281712997</v>
      </c>
      <c r="K285" s="2">
        <f>Sheet1!L285</f>
        <v>46226.652857789399</v>
      </c>
      <c r="L285" t="str">
        <f>Sheet1!M285</f>
        <v>Return Handling</v>
      </c>
      <c r="M285" t="str">
        <f>Sheet1!P285</f>
        <v>MITSUBISHI</v>
      </c>
      <c r="N285" t="str">
        <f>Sheet1!Q285</f>
        <v>2016</v>
      </c>
      <c r="O285">
        <f>Sheet1!AB285</f>
        <v>0</v>
      </c>
      <c r="P285" s="2">
        <f>Sheet1!AD285</f>
        <v>46226</v>
      </c>
      <c r="Q285" t="str">
        <f>Sheet1!AI285</f>
        <v>A A GEDE BAGUS PUTRA WIRAWAN-0626024</v>
      </c>
      <c r="R285" t="str">
        <f>Sheet1!AJ285</f>
        <v/>
      </c>
      <c r="S285" t="str">
        <f>Sheet1!AK285</f>
        <v>In Proses</v>
      </c>
      <c r="T285" t="str">
        <f>Sheet1!AL285</f>
        <v>SA</v>
      </c>
      <c r="U285" t="str">
        <f t="shared" si="4"/>
        <v>Done Survey</v>
      </c>
    </row>
    <row r="286" spans="1:21" x14ac:dyDescent="0.25">
      <c r="A286">
        <f>Sheet1!A286</f>
        <v>285</v>
      </c>
      <c r="B286" t="str">
        <f>Sheet1!B286</f>
        <v>ALAM SUTERA</v>
      </c>
      <c r="C286" t="str">
        <f>Sheet1!C286</f>
        <v>ERIK ALFIAN</v>
      </c>
      <c r="D286" t="str">
        <f>Sheet1!D286</f>
        <v>ODRNO2607220048</v>
      </c>
      <c r="E286" t="str">
        <f>Sheet1!E286</f>
        <v>838PRS20260702644</v>
      </c>
      <c r="F286" t="str">
        <f>Sheet1!F286</f>
        <v>Sales Agent (SA)</v>
      </c>
      <c r="G286" t="str">
        <f>Sheet1!G286</f>
        <v>8381022600044</v>
      </c>
      <c r="H286" t="str">
        <f>Sheet1!H286</f>
        <v>838APP20260700069</v>
      </c>
      <c r="I286" t="str">
        <f>Sheet1!I286</f>
        <v>IBRAHIM AZIZ</v>
      </c>
      <c r="J286" s="2">
        <f>Sheet1!K286</f>
        <v>46225.394293286998</v>
      </c>
      <c r="K286" s="2">
        <f>Sheet1!L286</f>
        <v>46227.382085532401</v>
      </c>
      <c r="L286" t="str">
        <f>Sheet1!M286</f>
        <v>Go Live</v>
      </c>
      <c r="M286" t="str">
        <f>Sheet1!P286</f>
        <v>CHERY</v>
      </c>
      <c r="N286" t="str">
        <f>Sheet1!Q286</f>
        <v>2023</v>
      </c>
      <c r="O286">
        <f>Sheet1!AB286</f>
        <v>57375000</v>
      </c>
      <c r="P286" s="2">
        <f>Sheet1!AD286</f>
        <v>46226</v>
      </c>
      <c r="Q286" t="str">
        <f>Sheet1!AI286</f>
        <v>DONNIE PRASTIYO-526010</v>
      </c>
      <c r="R286" t="str">
        <f>Sheet1!AJ286</f>
        <v/>
      </c>
      <c r="S286" t="str">
        <f>Sheet1!AK286</f>
        <v>Golive</v>
      </c>
      <c r="T286" t="str">
        <f>Sheet1!AL286</f>
        <v>SA</v>
      </c>
      <c r="U286" t="str">
        <f t="shared" si="4"/>
        <v>Done Survey</v>
      </c>
    </row>
    <row r="287" spans="1:21" x14ac:dyDescent="0.25">
      <c r="A287">
        <f>Sheet1!A287</f>
        <v>286</v>
      </c>
      <c r="B287" t="str">
        <f>Sheet1!B287</f>
        <v>BANDUNG</v>
      </c>
      <c r="C287" t="str">
        <f>Sheet1!C287</f>
        <v>Kurnia Ramdhanu Aji</v>
      </c>
      <c r="D287" t="str">
        <f>Sheet1!D287</f>
        <v>ODRNO2607220142</v>
      </c>
      <c r="E287" t="str">
        <f>Sheet1!E287</f>
        <v>813PRS20260705555</v>
      </c>
      <c r="F287" t="str">
        <f>Sheet1!F287</f>
        <v>Sales Agent (SA)</v>
      </c>
      <c r="G287">
        <f>Sheet1!G287</f>
        <v>0</v>
      </c>
      <c r="H287" t="str">
        <f>Sheet1!H287</f>
        <v>813APP20260700140</v>
      </c>
      <c r="I287" t="str">
        <f>Sheet1!I287</f>
        <v>RISKI DALNI</v>
      </c>
      <c r="J287" s="2">
        <f>Sheet1!K287</f>
        <v>46225.599658298597</v>
      </c>
      <c r="K287" s="2">
        <f>Sheet1!L287</f>
        <v>46230.787534340299</v>
      </c>
      <c r="L287" t="str">
        <f>Sheet1!M287</f>
        <v>Return Handling</v>
      </c>
      <c r="M287" t="str">
        <f>Sheet1!P287</f>
        <v>TOYOTA</v>
      </c>
      <c r="N287" t="str">
        <f>Sheet1!Q287</f>
        <v>2017</v>
      </c>
      <c r="O287">
        <f>Sheet1!AB287</f>
        <v>0</v>
      </c>
      <c r="P287" s="2">
        <f>Sheet1!AD287</f>
        <v>46227</v>
      </c>
      <c r="Q287" t="str">
        <f>Sheet1!AI287</f>
        <v>REZA KURNIAWAN-0626057</v>
      </c>
      <c r="R287" t="str">
        <f>Sheet1!AJ287</f>
        <v/>
      </c>
      <c r="S287" t="str">
        <f>Sheet1!AK287</f>
        <v>In Proses</v>
      </c>
      <c r="T287" t="str">
        <f>Sheet1!AL287</f>
        <v>SA</v>
      </c>
      <c r="U287" t="str">
        <f t="shared" si="4"/>
        <v>Done Survey</v>
      </c>
    </row>
    <row r="288" spans="1:21" x14ac:dyDescent="0.25">
      <c r="A288">
        <f>Sheet1!A288</f>
        <v>287</v>
      </c>
      <c r="B288" t="str">
        <f>Sheet1!B288</f>
        <v>BANDUNG</v>
      </c>
      <c r="C288" t="str">
        <f>Sheet1!C288</f>
        <v>Deni Aditya</v>
      </c>
      <c r="D288" t="str">
        <f>Sheet1!D288</f>
        <v>ODRNO2607220145</v>
      </c>
      <c r="E288" t="str">
        <f>Sheet1!E288</f>
        <v>813PRS20260705556</v>
      </c>
      <c r="F288" t="str">
        <f>Sheet1!F288</f>
        <v>Sales Agent (SA)</v>
      </c>
      <c r="G288">
        <f>Sheet1!G288</f>
        <v>0</v>
      </c>
      <c r="H288">
        <f>Sheet1!H288</f>
        <v>0</v>
      </c>
      <c r="I288" t="str">
        <f>Sheet1!I288</f>
        <v>RISKI DALNI</v>
      </c>
      <c r="J288" s="2">
        <f>Sheet1!K288</f>
        <v>46225.603782256898</v>
      </c>
      <c r="K288" s="2">
        <f>Sheet1!L288</f>
        <v>46233.333346608801</v>
      </c>
      <c r="L288" t="str">
        <f>Sheet1!M288</f>
        <v>Prospect Cancel</v>
      </c>
      <c r="M288" t="str">
        <f>Sheet1!P288</f>
        <v>DAIHATSU</v>
      </c>
      <c r="N288" t="str">
        <f>Sheet1!Q288</f>
        <v>2019</v>
      </c>
      <c r="O288">
        <f>Sheet1!AB288</f>
        <v>0</v>
      </c>
      <c r="P288" s="2">
        <f>Sheet1!AD288</f>
        <v>0</v>
      </c>
      <c r="Q288" t="str">
        <f>Sheet1!AI288</f>
        <v>HANAN MULYANA-0626048</v>
      </c>
      <c r="R288" t="str">
        <f>Sheet1!AJ288</f>
        <v/>
      </c>
      <c r="S288" t="str">
        <f>Sheet1!AK288</f>
        <v>Cancel</v>
      </c>
      <c r="T288" t="str">
        <f>Sheet1!AL288</f>
        <v>SA</v>
      </c>
      <c r="U288">
        <f t="shared" si="4"/>
        <v>0</v>
      </c>
    </row>
    <row r="289" spans="1:21" x14ac:dyDescent="0.25">
      <c r="A289">
        <f>Sheet1!A289</f>
        <v>288</v>
      </c>
      <c r="B289" t="str">
        <f>Sheet1!B289</f>
        <v>BANDUNG</v>
      </c>
      <c r="C289" t="str">
        <f>Sheet1!C289</f>
        <v>Pungki Ardiansyah Gunawan</v>
      </c>
      <c r="D289" t="str">
        <f>Sheet1!D289</f>
        <v>ODRNO2607220183</v>
      </c>
      <c r="E289" t="str">
        <f>Sheet1!E289</f>
        <v>813PRS20260705561</v>
      </c>
      <c r="F289" t="str">
        <f>Sheet1!F289</f>
        <v>Sales Agent (SA)</v>
      </c>
      <c r="G289">
        <f>Sheet1!G289</f>
        <v>0</v>
      </c>
      <c r="H289">
        <f>Sheet1!H289</f>
        <v>0</v>
      </c>
      <c r="I289" t="str">
        <f>Sheet1!I289</f>
        <v>RISKI DALNI</v>
      </c>
      <c r="J289" s="2">
        <f>Sheet1!K289</f>
        <v>46225.757089548599</v>
      </c>
      <c r="K289" s="2">
        <f>Sheet1!L289</f>
        <v>46233.333346608801</v>
      </c>
      <c r="L289" t="str">
        <f>Sheet1!M289</f>
        <v>Prospect Cancel</v>
      </c>
      <c r="M289" t="str">
        <f>Sheet1!P289</f>
        <v>TOYOTA</v>
      </c>
      <c r="N289" t="str">
        <f>Sheet1!Q289</f>
        <v>2013</v>
      </c>
      <c r="O289">
        <f>Sheet1!AB289</f>
        <v>0</v>
      </c>
      <c r="P289" s="2">
        <f>Sheet1!AD289</f>
        <v>0</v>
      </c>
      <c r="Q289" t="str">
        <f>Sheet1!AI289</f>
        <v>IWAN SETIAWAN-126173</v>
      </c>
      <c r="R289" t="str">
        <f>Sheet1!AJ289</f>
        <v/>
      </c>
      <c r="S289" t="str">
        <f>Sheet1!AK289</f>
        <v>Cancel</v>
      </c>
      <c r="T289" t="str">
        <f>Sheet1!AL289</f>
        <v>SA</v>
      </c>
      <c r="U289">
        <f t="shared" si="4"/>
        <v>0</v>
      </c>
    </row>
    <row r="290" spans="1:21" x14ac:dyDescent="0.25">
      <c r="A290">
        <f>Sheet1!A290</f>
        <v>289</v>
      </c>
      <c r="B290" t="str">
        <f>Sheet1!B290</f>
        <v>BEKASI</v>
      </c>
      <c r="C290" t="str">
        <f>Sheet1!C290</f>
        <v>JOHN DANIEL</v>
      </c>
      <c r="D290" t="str">
        <f>Sheet1!D290</f>
        <v>ODRNO2607220088</v>
      </c>
      <c r="E290" t="str">
        <f>Sheet1!E290</f>
        <v>811PRS20260704954</v>
      </c>
      <c r="F290" t="str">
        <f>Sheet1!F290</f>
        <v>Sales Agent (SA)</v>
      </c>
      <c r="G290">
        <f>Sheet1!G290</f>
        <v>0</v>
      </c>
      <c r="H290">
        <f>Sheet1!H290</f>
        <v>0</v>
      </c>
      <c r="I290" t="str">
        <f>Sheet1!I290</f>
        <v>KURNIAWAN ARIBOWO</v>
      </c>
      <c r="J290" s="2">
        <f>Sheet1!K290</f>
        <v>46225.468051157397</v>
      </c>
      <c r="K290" s="2">
        <f>Sheet1!L290</f>
        <v>46237.333353668997</v>
      </c>
      <c r="L290" t="str">
        <f>Sheet1!M290</f>
        <v>Prospect Cancel</v>
      </c>
      <c r="M290" t="str">
        <f>Sheet1!P290</f>
        <v>MITSUBISHI</v>
      </c>
      <c r="N290" t="str">
        <f>Sheet1!Q290</f>
        <v>2023</v>
      </c>
      <c r="O290">
        <f>Sheet1!AB290</f>
        <v>0</v>
      </c>
      <c r="P290" s="2">
        <f>Sheet1!AD290</f>
        <v>0</v>
      </c>
      <c r="Q290" t="str">
        <f>Sheet1!AI290</f>
        <v>ROSDIAN HENDRIES RIVANO-326037</v>
      </c>
      <c r="R290" t="str">
        <f>Sheet1!AJ290</f>
        <v/>
      </c>
      <c r="S290" t="str">
        <f>Sheet1!AK290</f>
        <v>Cancel</v>
      </c>
      <c r="T290" t="str">
        <f>Sheet1!AL290</f>
        <v>SA</v>
      </c>
      <c r="U290">
        <f t="shared" si="4"/>
        <v>0</v>
      </c>
    </row>
    <row r="291" spans="1:21" x14ac:dyDescent="0.25">
      <c r="A291">
        <f>Sheet1!A291</f>
        <v>290</v>
      </c>
      <c r="B291" t="str">
        <f>Sheet1!B291</f>
        <v>BOGOR</v>
      </c>
      <c r="C291" t="str">
        <f>Sheet1!C291</f>
        <v>KOMALASARI</v>
      </c>
      <c r="D291" t="str">
        <f>Sheet1!D291</f>
        <v>ODRNO2607220083</v>
      </c>
      <c r="E291" t="str">
        <f>Sheet1!E291</f>
        <v>812PRS20260701417</v>
      </c>
      <c r="F291" t="str">
        <f>Sheet1!F291</f>
        <v>Sales Agent (SA)</v>
      </c>
      <c r="G291">
        <f>Sheet1!G291</f>
        <v>0</v>
      </c>
      <c r="H291">
        <f>Sheet1!H291</f>
        <v>0</v>
      </c>
      <c r="I291" t="str">
        <f>Sheet1!I291</f>
        <v>SENJAYA BUDIMAN</v>
      </c>
      <c r="J291" s="2">
        <f>Sheet1!K291</f>
        <v>46225.462288078699</v>
      </c>
      <c r="K291" s="2">
        <f>Sheet1!L291</f>
        <v>46233.333346608801</v>
      </c>
      <c r="L291" t="str">
        <f>Sheet1!M291</f>
        <v>Prospect Cancel</v>
      </c>
      <c r="M291" t="str">
        <f>Sheet1!P291</f>
        <v>TOYOTA</v>
      </c>
      <c r="N291" t="str">
        <f>Sheet1!Q291</f>
        <v>2016</v>
      </c>
      <c r="O291">
        <f>Sheet1!AB291</f>
        <v>0</v>
      </c>
      <c r="P291" s="2">
        <f>Sheet1!AD291</f>
        <v>0</v>
      </c>
      <c r="Q291" t="str">
        <f>Sheet1!AI291</f>
        <v>OKTI DWIYANTI-0726075</v>
      </c>
      <c r="R291" t="str">
        <f>Sheet1!AJ291</f>
        <v/>
      </c>
      <c r="S291" t="str">
        <f>Sheet1!AK291</f>
        <v>Cancel</v>
      </c>
      <c r="T291" t="str">
        <f>Sheet1!AL291</f>
        <v>SA</v>
      </c>
      <c r="U291">
        <f t="shared" si="4"/>
        <v>0</v>
      </c>
    </row>
    <row r="292" spans="1:21" x14ac:dyDescent="0.25">
      <c r="A292">
        <f>Sheet1!A292</f>
        <v>291</v>
      </c>
      <c r="B292" t="str">
        <f>Sheet1!B292</f>
        <v>BOGOR</v>
      </c>
      <c r="C292" t="str">
        <f>Sheet1!C292</f>
        <v>SUHERMAN</v>
      </c>
      <c r="D292" t="str">
        <f>Sheet1!D292</f>
        <v>ODRNO2607220167</v>
      </c>
      <c r="E292" t="str">
        <f>Sheet1!E292</f>
        <v>812PRS20260701420</v>
      </c>
      <c r="F292" t="str">
        <f>Sheet1!F292</f>
        <v>Sales Agent (SA)</v>
      </c>
      <c r="G292">
        <f>Sheet1!G292</f>
        <v>0</v>
      </c>
      <c r="H292">
        <f>Sheet1!H292</f>
        <v>0</v>
      </c>
      <c r="I292" t="str">
        <f>Sheet1!I292</f>
        <v>EKA SUNARYO</v>
      </c>
      <c r="J292" s="2">
        <f>Sheet1!K292</f>
        <v>46225.669968830996</v>
      </c>
      <c r="K292" s="2">
        <f>Sheet1!L292</f>
        <v>46225.6736783218</v>
      </c>
      <c r="L292" t="str">
        <f>Sheet1!M292</f>
        <v>Prospect Cancel</v>
      </c>
      <c r="M292" t="str">
        <f>Sheet1!P292</f>
        <v>TOYOTA</v>
      </c>
      <c r="N292" t="str">
        <f>Sheet1!Q292</f>
        <v>2012</v>
      </c>
      <c r="O292">
        <f>Sheet1!AB292</f>
        <v>0</v>
      </c>
      <c r="P292" s="2">
        <f>Sheet1!AD292</f>
        <v>0</v>
      </c>
      <c r="Q292" t="str">
        <f>Sheet1!AI292</f>
        <v>REZANI-226160</v>
      </c>
      <c r="R292" t="str">
        <f>Sheet1!AJ292</f>
        <v/>
      </c>
      <c r="S292" t="str">
        <f>Sheet1!AK292</f>
        <v>Cancel</v>
      </c>
      <c r="T292" t="str">
        <f>Sheet1!AL292</f>
        <v>SA</v>
      </c>
      <c r="U292">
        <f t="shared" si="4"/>
        <v>0</v>
      </c>
    </row>
    <row r="293" spans="1:21" x14ac:dyDescent="0.25">
      <c r="A293">
        <f>Sheet1!A293</f>
        <v>292</v>
      </c>
      <c r="B293" t="str">
        <f>Sheet1!B293</f>
        <v>CILEGON</v>
      </c>
      <c r="C293" t="str">
        <f>Sheet1!C293</f>
        <v>MUHAMMAD ZEIN</v>
      </c>
      <c r="D293" t="str">
        <f>Sheet1!D293</f>
        <v>ODRNO2607220020</v>
      </c>
      <c r="E293" t="str">
        <f>Sheet1!E293</f>
        <v>833PRS20260700971</v>
      </c>
      <c r="F293" t="str">
        <f>Sheet1!F293</f>
        <v>Sales Agent (SA)</v>
      </c>
      <c r="G293">
        <f>Sheet1!G293</f>
        <v>0</v>
      </c>
      <c r="H293" t="str">
        <f>Sheet1!H293</f>
        <v>833APP20260700035</v>
      </c>
      <c r="I293" t="str">
        <f>Sheet1!I293</f>
        <v>BENNY</v>
      </c>
      <c r="J293" s="2">
        <f>Sheet1!K293</f>
        <v>46225.329768055599</v>
      </c>
      <c r="K293" s="2">
        <f>Sheet1!L293</f>
        <v>46231.485473807901</v>
      </c>
      <c r="L293" t="str">
        <f>Sheet1!M293</f>
        <v>Return Handling</v>
      </c>
      <c r="M293" t="str">
        <f>Sheet1!P293</f>
        <v>MAZDA</v>
      </c>
      <c r="N293" t="str">
        <f>Sheet1!Q293</f>
        <v>2022</v>
      </c>
      <c r="O293">
        <f>Sheet1!AB293</f>
        <v>0</v>
      </c>
      <c r="P293" s="2">
        <f>Sheet1!AD293</f>
        <v>46230</v>
      </c>
      <c r="Q293" t="str">
        <f>Sheet1!AI293</f>
        <v>ALIF APRI HANSYAH-226174</v>
      </c>
      <c r="R293" t="str">
        <f>Sheet1!AJ293</f>
        <v/>
      </c>
      <c r="S293" t="str">
        <f>Sheet1!AK293</f>
        <v>In Proses</v>
      </c>
      <c r="T293" t="str">
        <f>Sheet1!AL293</f>
        <v>SA</v>
      </c>
      <c r="U293" t="str">
        <f t="shared" si="4"/>
        <v>Done Survey</v>
      </c>
    </row>
    <row r="294" spans="1:21" x14ac:dyDescent="0.25">
      <c r="A294">
        <f>Sheet1!A294</f>
        <v>293</v>
      </c>
      <c r="B294" t="str">
        <f>Sheet1!B294</f>
        <v>FATMAWATI</v>
      </c>
      <c r="C294" t="str">
        <f>Sheet1!C294</f>
        <v>KOKO ANDRIAS</v>
      </c>
      <c r="D294" t="str">
        <f>Sheet1!D294</f>
        <v>ODRNO2607220099</v>
      </c>
      <c r="E294" t="str">
        <f>Sheet1!E294</f>
        <v>802PRS20260702395</v>
      </c>
      <c r="F294" t="str">
        <f>Sheet1!F294</f>
        <v>Sales Agent (SA)</v>
      </c>
      <c r="G294">
        <f>Sheet1!G294</f>
        <v>0</v>
      </c>
      <c r="H294">
        <f>Sheet1!H294</f>
        <v>0</v>
      </c>
      <c r="I294" t="str">
        <f>Sheet1!I294</f>
        <v>RIZQI APRIANSYAH</v>
      </c>
      <c r="J294" s="2">
        <f>Sheet1!K294</f>
        <v>46225.489620983797</v>
      </c>
      <c r="K294" s="2">
        <f>Sheet1!L294</f>
        <v>46233.333346608801</v>
      </c>
      <c r="L294" t="str">
        <f>Sheet1!M294</f>
        <v>Prospect Cancel</v>
      </c>
      <c r="M294" t="str">
        <f>Sheet1!P294</f>
        <v>MITSUBISHI</v>
      </c>
      <c r="N294" t="str">
        <f>Sheet1!Q294</f>
        <v>2018</v>
      </c>
      <c r="O294">
        <f>Sheet1!AB294</f>
        <v>0</v>
      </c>
      <c r="P294" s="2">
        <f>Sheet1!AD294</f>
        <v>0</v>
      </c>
      <c r="Q294" t="str">
        <f>Sheet1!AI294</f>
        <v>IMAN NURIMAN-226063</v>
      </c>
      <c r="R294" t="str">
        <f>Sheet1!AJ294</f>
        <v/>
      </c>
      <c r="S294" t="str">
        <f>Sheet1!AK294</f>
        <v>Cancel</v>
      </c>
      <c r="T294" t="str">
        <f>Sheet1!AL294</f>
        <v>SA</v>
      </c>
      <c r="U294">
        <f t="shared" si="4"/>
        <v>0</v>
      </c>
    </row>
    <row r="295" spans="1:21" x14ac:dyDescent="0.25">
      <c r="A295">
        <f>Sheet1!A295</f>
        <v>294</v>
      </c>
      <c r="B295" t="str">
        <f>Sheet1!B295</f>
        <v>FATMAWATI</v>
      </c>
      <c r="C295" t="str">
        <f>Sheet1!C295</f>
        <v>SAHIRUDIN ALFIAN</v>
      </c>
      <c r="D295" t="str">
        <f>Sheet1!D295</f>
        <v>ODRNO2607220100</v>
      </c>
      <c r="E295" t="str">
        <f>Sheet1!E295</f>
        <v>802PRS20260702396</v>
      </c>
      <c r="F295" t="str">
        <f>Sheet1!F295</f>
        <v>Sales Agent (SA)</v>
      </c>
      <c r="G295">
        <f>Sheet1!G295</f>
        <v>0</v>
      </c>
      <c r="H295">
        <f>Sheet1!H295</f>
        <v>0</v>
      </c>
      <c r="I295" t="str">
        <f>Sheet1!I295</f>
        <v>DICKY APRIYADI</v>
      </c>
      <c r="J295" s="2">
        <f>Sheet1!K295</f>
        <v>46225.490719756897</v>
      </c>
      <c r="K295" s="2">
        <f>Sheet1!L295</f>
        <v>46233.333346608801</v>
      </c>
      <c r="L295" t="str">
        <f>Sheet1!M295</f>
        <v>Prospect Cancel</v>
      </c>
      <c r="M295" t="str">
        <f>Sheet1!P295</f>
        <v>TOYOTA</v>
      </c>
      <c r="N295" t="str">
        <f>Sheet1!Q295</f>
        <v>2023</v>
      </c>
      <c r="O295">
        <f>Sheet1!AB295</f>
        <v>0</v>
      </c>
      <c r="P295" s="2">
        <f>Sheet1!AD295</f>
        <v>0</v>
      </c>
      <c r="Q295" t="str">
        <f>Sheet1!AI295</f>
        <v>HENDHI WIJAYA-0726032</v>
      </c>
      <c r="R295" t="str">
        <f>Sheet1!AJ295</f>
        <v/>
      </c>
      <c r="S295" t="str">
        <f>Sheet1!AK295</f>
        <v>Cancel</v>
      </c>
      <c r="T295" t="str">
        <f>Sheet1!AL295</f>
        <v>SA</v>
      </c>
      <c r="U295">
        <f t="shared" si="4"/>
        <v>0</v>
      </c>
    </row>
    <row r="296" spans="1:21" x14ac:dyDescent="0.25">
      <c r="A296">
        <f>Sheet1!A296</f>
        <v>295</v>
      </c>
      <c r="B296" t="str">
        <f>Sheet1!B296</f>
        <v>FATMAWATI</v>
      </c>
      <c r="C296" t="str">
        <f>Sheet1!C296</f>
        <v>ANDRI SETYANTO</v>
      </c>
      <c r="D296" t="str">
        <f>Sheet1!D296</f>
        <v>ODRNO2607220102</v>
      </c>
      <c r="E296" t="str">
        <f>Sheet1!E296</f>
        <v>802PRS20260702397</v>
      </c>
      <c r="F296" t="str">
        <f>Sheet1!F296</f>
        <v>Sales Agent (SA)</v>
      </c>
      <c r="G296">
        <f>Sheet1!G296</f>
        <v>0</v>
      </c>
      <c r="H296">
        <f>Sheet1!H296</f>
        <v>0</v>
      </c>
      <c r="I296" t="str">
        <f>Sheet1!I296</f>
        <v>RIZQI APRIANSYAH</v>
      </c>
      <c r="J296" s="2">
        <f>Sheet1!K296</f>
        <v>46225.496195520798</v>
      </c>
      <c r="K296" s="2">
        <f>Sheet1!L296</f>
        <v>46233.333346608801</v>
      </c>
      <c r="L296" t="str">
        <f>Sheet1!M296</f>
        <v>Prospect Cancel</v>
      </c>
      <c r="M296" t="str">
        <f>Sheet1!P296</f>
        <v>HONDA</v>
      </c>
      <c r="N296" t="str">
        <f>Sheet1!Q296</f>
        <v>2010</v>
      </c>
      <c r="O296">
        <f>Sheet1!AB296</f>
        <v>0</v>
      </c>
      <c r="P296" s="2">
        <f>Sheet1!AD296</f>
        <v>0</v>
      </c>
      <c r="Q296" t="str">
        <f>Sheet1!AI296</f>
        <v>ASEP RUSLI HIDAYAT M-0726018</v>
      </c>
      <c r="R296" t="str">
        <f>Sheet1!AJ296</f>
        <v/>
      </c>
      <c r="S296" t="str">
        <f>Sheet1!AK296</f>
        <v>Cancel</v>
      </c>
      <c r="T296" t="str">
        <f>Sheet1!AL296</f>
        <v>SA</v>
      </c>
      <c r="U296">
        <f t="shared" si="4"/>
        <v>0</v>
      </c>
    </row>
    <row r="297" spans="1:21" x14ac:dyDescent="0.25">
      <c r="A297">
        <f>Sheet1!A297</f>
        <v>296</v>
      </c>
      <c r="B297" t="str">
        <f>Sheet1!B297</f>
        <v>FATMAWATI</v>
      </c>
      <c r="C297" t="str">
        <f>Sheet1!C297</f>
        <v>asep</v>
      </c>
      <c r="D297" t="str">
        <f>Sheet1!D297</f>
        <v>ODRNO2607220185</v>
      </c>
      <c r="E297" t="str">
        <f>Sheet1!E297</f>
        <v>802PRS20260702398</v>
      </c>
      <c r="F297" t="str">
        <f>Sheet1!F297</f>
        <v>Sales Agent (SA)</v>
      </c>
      <c r="G297">
        <f>Sheet1!G297</f>
        <v>0</v>
      </c>
      <c r="H297">
        <f>Sheet1!H297</f>
        <v>0</v>
      </c>
      <c r="I297" t="str">
        <f>Sheet1!I297</f>
        <v>RIZQI APRIANSYAH</v>
      </c>
      <c r="J297" s="2">
        <f>Sheet1!K297</f>
        <v>46225.763173460597</v>
      </c>
      <c r="K297" s="2">
        <f>Sheet1!L297</f>
        <v>46233.333346608801</v>
      </c>
      <c r="L297" t="str">
        <f>Sheet1!M297</f>
        <v>Prospect Cancel</v>
      </c>
      <c r="M297" t="str">
        <f>Sheet1!P297</f>
        <v>HONDA</v>
      </c>
      <c r="N297" t="str">
        <f>Sheet1!Q297</f>
        <v>2017</v>
      </c>
      <c r="O297">
        <f>Sheet1!AB297</f>
        <v>0</v>
      </c>
      <c r="P297" s="2">
        <f>Sheet1!AD297</f>
        <v>0</v>
      </c>
      <c r="Q297" t="str">
        <f>Sheet1!AI297</f>
        <v>ASEP RUSLI HIDAYAT M-0726018</v>
      </c>
      <c r="R297" t="str">
        <f>Sheet1!AJ297</f>
        <v/>
      </c>
      <c r="S297" t="str">
        <f>Sheet1!AK297</f>
        <v>Cancel</v>
      </c>
      <c r="T297" t="str">
        <f>Sheet1!AL297</f>
        <v>SA</v>
      </c>
      <c r="U297">
        <f t="shared" si="4"/>
        <v>0</v>
      </c>
    </row>
    <row r="298" spans="1:21" x14ac:dyDescent="0.25">
      <c r="A298">
        <f>Sheet1!A298</f>
        <v>297</v>
      </c>
      <c r="B298" t="str">
        <f>Sheet1!B298</f>
        <v>KEMAYORAN</v>
      </c>
      <c r="C298" t="str">
        <f>Sheet1!C298</f>
        <v>Muhammad Rizki</v>
      </c>
      <c r="D298" t="str">
        <f>Sheet1!D298</f>
        <v>ODRNO2607220050</v>
      </c>
      <c r="E298" t="str">
        <f>Sheet1!E298</f>
        <v>801PRS20260700933</v>
      </c>
      <c r="F298" t="str">
        <f>Sheet1!F298</f>
        <v>Sales Agent (SA)</v>
      </c>
      <c r="G298">
        <f>Sheet1!G298</f>
        <v>0</v>
      </c>
      <c r="H298">
        <f>Sheet1!H298</f>
        <v>0</v>
      </c>
      <c r="I298" t="str">
        <f>Sheet1!I298</f>
        <v>MUHAMMAD RIZQY KEMAL</v>
      </c>
      <c r="J298" s="2">
        <f>Sheet1!K298</f>
        <v>46225.396106018503</v>
      </c>
      <c r="K298" s="2">
        <f>Sheet1!L298</f>
        <v>46233.333346608801</v>
      </c>
      <c r="L298" t="str">
        <f>Sheet1!M298</f>
        <v>Prospect Cancel</v>
      </c>
      <c r="M298" t="str">
        <f>Sheet1!P298</f>
        <v>NISSAN</v>
      </c>
      <c r="N298" t="str">
        <f>Sheet1!Q298</f>
        <v>2010</v>
      </c>
      <c r="O298">
        <f>Sheet1!AB298</f>
        <v>0</v>
      </c>
      <c r="P298" s="2">
        <f>Sheet1!AD298</f>
        <v>0</v>
      </c>
      <c r="Q298" t="str">
        <f>Sheet1!AI298</f>
        <v>MUHAMMAD ASLAMI DHUHA FALEYRI-0626003</v>
      </c>
      <c r="R298" t="str">
        <f>Sheet1!AJ298</f>
        <v/>
      </c>
      <c r="S298" t="str">
        <f>Sheet1!AK298</f>
        <v>Cancel</v>
      </c>
      <c r="T298" t="str">
        <f>Sheet1!AL298</f>
        <v>SA</v>
      </c>
      <c r="U298">
        <f t="shared" si="4"/>
        <v>0</v>
      </c>
    </row>
    <row r="299" spans="1:21" x14ac:dyDescent="0.25">
      <c r="A299">
        <f>Sheet1!A299</f>
        <v>298</v>
      </c>
      <c r="B299" t="str">
        <f>Sheet1!B299</f>
        <v>LAMPUNG</v>
      </c>
      <c r="C299" t="str">
        <f>Sheet1!C299</f>
        <v>dwi susanti</v>
      </c>
      <c r="D299" t="str">
        <f>Sheet1!D299</f>
        <v>ODRNO2607220041</v>
      </c>
      <c r="E299" t="str">
        <f>Sheet1!E299</f>
        <v>810PRS20260700731</v>
      </c>
      <c r="F299" t="str">
        <f>Sheet1!F299</f>
        <v>Sales Agent (SA)</v>
      </c>
      <c r="G299">
        <f>Sheet1!G299</f>
        <v>0</v>
      </c>
      <c r="H299">
        <f>Sheet1!H299</f>
        <v>0</v>
      </c>
      <c r="I299" t="str">
        <f>Sheet1!I299</f>
        <v>AZWAN</v>
      </c>
      <c r="J299" s="2">
        <f>Sheet1!K299</f>
        <v>46225.382601157398</v>
      </c>
      <c r="K299" s="2">
        <f>Sheet1!L299</f>
        <v>46225.451985648098</v>
      </c>
      <c r="L299" t="str">
        <f>Sheet1!M299</f>
        <v>Prospect Cancel</v>
      </c>
      <c r="M299" t="str">
        <f>Sheet1!P299</f>
        <v>MITSUBISHI</v>
      </c>
      <c r="N299" t="str">
        <f>Sheet1!Q299</f>
        <v>2016</v>
      </c>
      <c r="O299">
        <f>Sheet1!AB299</f>
        <v>0</v>
      </c>
      <c r="P299" s="2">
        <f>Sheet1!AD299</f>
        <v>0</v>
      </c>
      <c r="Q299" t="str">
        <f>Sheet1!AI299</f>
        <v>DWI SINTA FEBRIANA-126006</v>
      </c>
      <c r="R299" t="str">
        <f>Sheet1!AJ299</f>
        <v/>
      </c>
      <c r="S299" t="str">
        <f>Sheet1!AK299</f>
        <v>Cancel</v>
      </c>
      <c r="T299" t="str">
        <f>Sheet1!AL299</f>
        <v>SA</v>
      </c>
      <c r="U299">
        <f t="shared" si="4"/>
        <v>0</v>
      </c>
    </row>
    <row r="300" spans="1:21" x14ac:dyDescent="0.25">
      <c r="A300">
        <f>Sheet1!A300</f>
        <v>299</v>
      </c>
      <c r="B300" t="str">
        <f>Sheet1!B300</f>
        <v>LAMPUNG</v>
      </c>
      <c r="C300" t="str">
        <f>Sheet1!C300</f>
        <v>L BR simanjuntak</v>
      </c>
      <c r="D300" t="str">
        <f>Sheet1!D300</f>
        <v>ODRNO2607220134</v>
      </c>
      <c r="E300" t="str">
        <f>Sheet1!E300</f>
        <v>810PRS20260700732</v>
      </c>
      <c r="F300" t="str">
        <f>Sheet1!F300</f>
        <v>Sales Agent (SA)</v>
      </c>
      <c r="G300">
        <f>Sheet1!G300</f>
        <v>0</v>
      </c>
      <c r="H300">
        <f>Sheet1!H300</f>
        <v>0</v>
      </c>
      <c r="I300" t="str">
        <f>Sheet1!I300</f>
        <v>AZWAN</v>
      </c>
      <c r="J300" s="2">
        <f>Sheet1!K300</f>
        <v>46225.571729513897</v>
      </c>
      <c r="K300" s="2">
        <f>Sheet1!L300</f>
        <v>46225.580234606503</v>
      </c>
      <c r="L300" t="str">
        <f>Sheet1!M300</f>
        <v>Prospect Cancel</v>
      </c>
      <c r="M300" t="str">
        <f>Sheet1!P300</f>
        <v>TOYOTA</v>
      </c>
      <c r="N300" t="str">
        <f>Sheet1!Q300</f>
        <v>2022</v>
      </c>
      <c r="O300">
        <f>Sheet1!AB300</f>
        <v>0</v>
      </c>
      <c r="P300" s="2">
        <f>Sheet1!AD300</f>
        <v>0</v>
      </c>
      <c r="Q300" t="str">
        <f>Sheet1!AI300</f>
        <v>DWI SINTA FEBRIANA-126006</v>
      </c>
      <c r="R300" t="str">
        <f>Sheet1!AJ300</f>
        <v/>
      </c>
      <c r="S300" t="str">
        <f>Sheet1!AK300</f>
        <v>Cancel</v>
      </c>
      <c r="T300" t="str">
        <f>Sheet1!AL300</f>
        <v>SA</v>
      </c>
      <c r="U300">
        <f t="shared" si="4"/>
        <v>0</v>
      </c>
    </row>
    <row r="301" spans="1:21" x14ac:dyDescent="0.25">
      <c r="A301">
        <f>Sheet1!A301</f>
        <v>300</v>
      </c>
      <c r="B301" t="str">
        <f>Sheet1!B301</f>
        <v>PEKANBARU</v>
      </c>
      <c r="C301" t="str">
        <f>Sheet1!C301</f>
        <v>ASWANDI</v>
      </c>
      <c r="D301" t="str">
        <f>Sheet1!D301</f>
        <v>ODRNO2607220093</v>
      </c>
      <c r="E301" t="str">
        <f>Sheet1!E301</f>
        <v>805PRS20260702747</v>
      </c>
      <c r="F301" t="str">
        <f>Sheet1!F301</f>
        <v>Sales Agent (SA)</v>
      </c>
      <c r="G301" t="str">
        <f>Sheet1!G301</f>
        <v>8051032600018</v>
      </c>
      <c r="H301" t="str">
        <f>Sheet1!H301</f>
        <v>805APP20260700081</v>
      </c>
      <c r="I301" t="str">
        <f>Sheet1!I301</f>
        <v>MUHAMMAD RIDWAN</v>
      </c>
      <c r="J301" s="2">
        <f>Sheet1!K301</f>
        <v>46225.474406863403</v>
      </c>
      <c r="K301" s="2">
        <f>Sheet1!L301</f>
        <v>46229.439134143497</v>
      </c>
      <c r="L301" t="str">
        <f>Sheet1!M301</f>
        <v>Go Live</v>
      </c>
      <c r="M301" t="str">
        <f>Sheet1!P301</f>
        <v>TOYOTA</v>
      </c>
      <c r="N301" t="str">
        <f>Sheet1!Q301</f>
        <v>2022</v>
      </c>
      <c r="O301">
        <f>Sheet1!AB301</f>
        <v>183600000</v>
      </c>
      <c r="P301" s="2">
        <f>Sheet1!AD301</f>
        <v>46227</v>
      </c>
      <c r="Q301" t="str">
        <f>Sheet1!AI301</f>
        <v>HOLONG SETIAWAN HARIANJA-126048</v>
      </c>
      <c r="R301" t="str">
        <f>Sheet1!AJ301</f>
        <v/>
      </c>
      <c r="S301" t="str">
        <f>Sheet1!AK301</f>
        <v>Golive</v>
      </c>
      <c r="T301" t="str">
        <f>Sheet1!AL301</f>
        <v>SA</v>
      </c>
      <c r="U301" t="str">
        <f t="shared" si="4"/>
        <v>Done Survey</v>
      </c>
    </row>
    <row r="302" spans="1:21" x14ac:dyDescent="0.25">
      <c r="A302">
        <f>Sheet1!A302</f>
        <v>301</v>
      </c>
      <c r="B302" t="str">
        <f>Sheet1!B302</f>
        <v>SUKABUMI</v>
      </c>
      <c r="C302" t="str">
        <f>Sheet1!C302</f>
        <v>dicky iswadi</v>
      </c>
      <c r="D302" t="str">
        <f>Sheet1!D302</f>
        <v>ODRNO2607220108</v>
      </c>
      <c r="E302" t="str">
        <f>Sheet1!E302</f>
        <v>841PRS20260701251</v>
      </c>
      <c r="F302" t="str">
        <f>Sheet1!F302</f>
        <v>Sales Agent (SA)</v>
      </c>
      <c r="G302" t="str">
        <f>Sheet1!G302</f>
        <v>8411022600002</v>
      </c>
      <c r="H302" t="str">
        <f>Sheet1!H302</f>
        <v>841APP20260700011</v>
      </c>
      <c r="I302" t="str">
        <f>Sheet1!I302</f>
        <v>BAYU SAPUTRA</v>
      </c>
      <c r="J302" s="2">
        <f>Sheet1!K302</f>
        <v>46225.513192939798</v>
      </c>
      <c r="K302" s="2">
        <f>Sheet1!L302</f>
        <v>46233.388289317103</v>
      </c>
      <c r="L302" t="str">
        <f>Sheet1!M302</f>
        <v>Go Live</v>
      </c>
      <c r="M302" t="str">
        <f>Sheet1!P302</f>
        <v>DAIHATSU</v>
      </c>
      <c r="N302" t="str">
        <f>Sheet1!Q302</f>
        <v>2018</v>
      </c>
      <c r="O302">
        <f>Sheet1!AB302</f>
        <v>73100000</v>
      </c>
      <c r="P302" s="2">
        <f>Sheet1!AD302</f>
        <v>46231</v>
      </c>
      <c r="Q302" t="str">
        <f>Sheet1!AI302</f>
        <v>A A GEDE BAGUS PUTRA WIRAWAN-0626024</v>
      </c>
      <c r="R302" t="str">
        <f>Sheet1!AJ302</f>
        <v/>
      </c>
      <c r="S302" t="str">
        <f>Sheet1!AK302</f>
        <v>Golive</v>
      </c>
      <c r="T302" t="str">
        <f>Sheet1!AL302</f>
        <v>SA</v>
      </c>
      <c r="U302" t="str">
        <f t="shared" si="4"/>
        <v>Done Survey</v>
      </c>
    </row>
    <row r="303" spans="1:21" x14ac:dyDescent="0.25">
      <c r="A303">
        <f>Sheet1!A303</f>
        <v>302</v>
      </c>
      <c r="B303" t="str">
        <f>Sheet1!B303</f>
        <v>SURABAYA SATU</v>
      </c>
      <c r="C303" t="str">
        <f>Sheet1!C303</f>
        <v>H sukono</v>
      </c>
      <c r="D303" t="str">
        <f>Sheet1!D303</f>
        <v>ODRNO2607220067</v>
      </c>
      <c r="E303" t="str">
        <f>Sheet1!E303</f>
        <v>819PRS20260701052</v>
      </c>
      <c r="F303" t="str">
        <f>Sheet1!F303</f>
        <v>Sales Agent (SA)</v>
      </c>
      <c r="G303">
        <f>Sheet1!G303</f>
        <v>0</v>
      </c>
      <c r="H303">
        <f>Sheet1!H303</f>
        <v>0</v>
      </c>
      <c r="I303" t="str">
        <f>Sheet1!I303</f>
        <v>PONDRA PUJIONO</v>
      </c>
      <c r="J303" s="2">
        <f>Sheet1!K303</f>
        <v>46225.439031250004</v>
      </c>
      <c r="K303" s="2">
        <f>Sheet1!L303</f>
        <v>46225.458388773201</v>
      </c>
      <c r="L303" t="str">
        <f>Sheet1!M303</f>
        <v>Prospect Cancel</v>
      </c>
      <c r="M303" t="str">
        <f>Sheet1!P303</f>
        <v>HONDA</v>
      </c>
      <c r="N303" t="str">
        <f>Sheet1!Q303</f>
        <v>2016</v>
      </c>
      <c r="O303">
        <f>Sheet1!AB303</f>
        <v>0</v>
      </c>
      <c r="P303" s="2">
        <f>Sheet1!AD303</f>
        <v>0</v>
      </c>
      <c r="Q303" t="str">
        <f>Sheet1!AI303</f>
        <v>ANGGA HERDIANA-226003</v>
      </c>
      <c r="R303" t="str">
        <f>Sheet1!AJ303</f>
        <v/>
      </c>
      <c r="S303" t="str">
        <f>Sheet1!AK303</f>
        <v>Cancel</v>
      </c>
      <c r="T303" t="str">
        <f>Sheet1!AL303</f>
        <v>SA</v>
      </c>
      <c r="U303">
        <f t="shared" si="4"/>
        <v>0</v>
      </c>
    </row>
    <row r="304" spans="1:21" x14ac:dyDescent="0.25">
      <c r="A304">
        <f>Sheet1!A304</f>
        <v>303</v>
      </c>
      <c r="B304" t="str">
        <f>Sheet1!B304</f>
        <v>BANDUNG</v>
      </c>
      <c r="C304" t="str">
        <f>Sheet1!C304</f>
        <v>DEDEN RIAN DERMAWAN</v>
      </c>
      <c r="D304" t="str">
        <f>Sheet1!D304</f>
        <v>ODRNO2607230168</v>
      </c>
      <c r="E304" t="str">
        <f>Sheet1!E304</f>
        <v>813PRS20260705577</v>
      </c>
      <c r="F304" t="str">
        <f>Sheet1!F304</f>
        <v>Sales Agent (SA)</v>
      </c>
      <c r="G304">
        <f>Sheet1!G304</f>
        <v>0</v>
      </c>
      <c r="H304">
        <f>Sheet1!H304</f>
        <v>0</v>
      </c>
      <c r="I304" t="str">
        <f>Sheet1!I304</f>
        <v>RAMDHAN FIRMANSYAH</v>
      </c>
      <c r="J304" s="2">
        <f>Sheet1!K304</f>
        <v>46226.631807210702</v>
      </c>
      <c r="K304" s="2">
        <f>Sheet1!L304</f>
        <v>46234.333357638898</v>
      </c>
      <c r="L304" t="str">
        <f>Sheet1!M304</f>
        <v>Prospect Cancel</v>
      </c>
      <c r="M304" t="str">
        <f>Sheet1!P304</f>
        <v>DAIHATSU</v>
      </c>
      <c r="N304" t="str">
        <f>Sheet1!Q304</f>
        <v>2016</v>
      </c>
      <c r="O304">
        <f>Sheet1!AB304</f>
        <v>0</v>
      </c>
      <c r="P304" s="2">
        <f>Sheet1!AD304</f>
        <v>0</v>
      </c>
      <c r="Q304" t="str">
        <f>Sheet1!AI304</f>
        <v>AGUNG WIBOWO-226216</v>
      </c>
      <c r="R304" t="str">
        <f>Sheet1!AJ304</f>
        <v/>
      </c>
      <c r="S304" t="str">
        <f>Sheet1!AK304</f>
        <v>Cancel</v>
      </c>
      <c r="T304" t="str">
        <f>Sheet1!AL304</f>
        <v>SA</v>
      </c>
      <c r="U304">
        <f t="shared" si="4"/>
        <v>0</v>
      </c>
    </row>
    <row r="305" spans="1:21" x14ac:dyDescent="0.25">
      <c r="A305">
        <f>Sheet1!A305</f>
        <v>304</v>
      </c>
      <c r="B305" t="str">
        <f>Sheet1!B305</f>
        <v>BANDUNG</v>
      </c>
      <c r="C305" t="str">
        <f>Sheet1!C305</f>
        <v>Adam Darmawan</v>
      </c>
      <c r="D305" t="str">
        <f>Sheet1!D305</f>
        <v>ODRNO2607230217</v>
      </c>
      <c r="E305" t="str">
        <f>Sheet1!E305</f>
        <v>813PRS20260705584</v>
      </c>
      <c r="F305" t="str">
        <f>Sheet1!F305</f>
        <v>Sales Agent (SA)</v>
      </c>
      <c r="G305">
        <f>Sheet1!G305</f>
        <v>0</v>
      </c>
      <c r="H305">
        <f>Sheet1!H305</f>
        <v>0</v>
      </c>
      <c r="I305" t="str">
        <f>Sheet1!I305</f>
        <v>RISKI DALNI</v>
      </c>
      <c r="J305" s="2">
        <f>Sheet1!K305</f>
        <v>46226.814685648103</v>
      </c>
      <c r="K305" s="2">
        <f>Sheet1!L305</f>
        <v>46234.333357638898</v>
      </c>
      <c r="L305" t="str">
        <f>Sheet1!M305</f>
        <v>Prospect Cancel</v>
      </c>
      <c r="M305" t="str">
        <f>Sheet1!P305</f>
        <v>SUZUKI</v>
      </c>
      <c r="N305" t="str">
        <f>Sheet1!Q305</f>
        <v>2021</v>
      </c>
      <c r="O305">
        <f>Sheet1!AB305</f>
        <v>0</v>
      </c>
      <c r="P305" s="2">
        <f>Sheet1!AD305</f>
        <v>0</v>
      </c>
      <c r="Q305" t="str">
        <f>Sheet1!AI305</f>
        <v>YOGA ANANG SUKANA-126346</v>
      </c>
      <c r="R305" t="str">
        <f>Sheet1!AJ305</f>
        <v/>
      </c>
      <c r="S305" t="str">
        <f>Sheet1!AK305</f>
        <v>Cancel</v>
      </c>
      <c r="T305" t="str">
        <f>Sheet1!AL305</f>
        <v>SA</v>
      </c>
      <c r="U305">
        <f t="shared" si="4"/>
        <v>0</v>
      </c>
    </row>
    <row r="306" spans="1:21" x14ac:dyDescent="0.25">
      <c r="A306">
        <f>Sheet1!A306</f>
        <v>305</v>
      </c>
      <c r="B306" t="str">
        <f>Sheet1!B306</f>
        <v>BEKASI</v>
      </c>
      <c r="C306" t="str">
        <f>Sheet1!C306</f>
        <v>RAMA WARDHANA</v>
      </c>
      <c r="D306" t="str">
        <f>Sheet1!D306</f>
        <v>ODRNO2607230107</v>
      </c>
      <c r="E306" t="str">
        <f>Sheet1!E306</f>
        <v>811PRS20260704982</v>
      </c>
      <c r="F306" t="str">
        <f>Sheet1!F306</f>
        <v>Sales Agent (SA)</v>
      </c>
      <c r="G306">
        <f>Sheet1!G306</f>
        <v>0</v>
      </c>
      <c r="H306">
        <f>Sheet1!H306</f>
        <v>0</v>
      </c>
      <c r="I306" t="str">
        <f>Sheet1!I306</f>
        <v>KURNIAWAN ARIBOWO</v>
      </c>
      <c r="J306" s="2">
        <f>Sheet1!K306</f>
        <v>46226.491654664402</v>
      </c>
      <c r="K306" s="2">
        <f>Sheet1!L306</f>
        <v>46234.333357638898</v>
      </c>
      <c r="L306" t="str">
        <f>Sheet1!M306</f>
        <v>Prospect Cancel</v>
      </c>
      <c r="M306" t="str">
        <f>Sheet1!P306</f>
        <v>MITSUBISHI</v>
      </c>
      <c r="N306" t="str">
        <f>Sheet1!Q306</f>
        <v>2018</v>
      </c>
      <c r="O306">
        <f>Sheet1!AB306</f>
        <v>0</v>
      </c>
      <c r="P306" s="2">
        <f>Sheet1!AD306</f>
        <v>0</v>
      </c>
      <c r="Q306" t="str">
        <f>Sheet1!AI306</f>
        <v>MUHAMMAD DONI SEPTYAN-226027</v>
      </c>
      <c r="R306" t="str">
        <f>Sheet1!AJ306</f>
        <v/>
      </c>
      <c r="S306" t="str">
        <f>Sheet1!AK306</f>
        <v>Cancel</v>
      </c>
      <c r="T306" t="str">
        <f>Sheet1!AL306</f>
        <v>SA</v>
      </c>
      <c r="U306">
        <f t="shared" si="4"/>
        <v>0</v>
      </c>
    </row>
    <row r="307" spans="1:21" x14ac:dyDescent="0.25">
      <c r="A307">
        <f>Sheet1!A307</f>
        <v>306</v>
      </c>
      <c r="B307" t="str">
        <f>Sheet1!B307</f>
        <v>BENGKULU</v>
      </c>
      <c r="C307" t="str">
        <f>Sheet1!C307</f>
        <v>riri domeytafeti kasari</v>
      </c>
      <c r="D307" t="str">
        <f>Sheet1!D307</f>
        <v>ODRNO2607230023</v>
      </c>
      <c r="E307" t="str">
        <f>Sheet1!E307</f>
        <v>809PRS20260701321</v>
      </c>
      <c r="F307" t="str">
        <f>Sheet1!F307</f>
        <v>Sales Agent (SA)</v>
      </c>
      <c r="G307">
        <f>Sheet1!G307</f>
        <v>0</v>
      </c>
      <c r="H307">
        <f>Sheet1!H307</f>
        <v>0</v>
      </c>
      <c r="I307" t="str">
        <f>Sheet1!I307</f>
        <v>ADE CHANDRA PANE</v>
      </c>
      <c r="J307" s="2">
        <f>Sheet1!K307</f>
        <v>46226.350556944402</v>
      </c>
      <c r="K307" s="2">
        <f>Sheet1!L307</f>
        <v>46234.333357638898</v>
      </c>
      <c r="L307" t="str">
        <f>Sheet1!M307</f>
        <v>Prospect Cancel</v>
      </c>
      <c r="M307" t="str">
        <f>Sheet1!P307</f>
        <v>FORD</v>
      </c>
      <c r="N307" t="str">
        <f>Sheet1!Q307</f>
        <v>2013</v>
      </c>
      <c r="O307">
        <f>Sheet1!AB307</f>
        <v>0</v>
      </c>
      <c r="P307" s="2">
        <f>Sheet1!AD307</f>
        <v>0</v>
      </c>
      <c r="Q307" t="str">
        <f>Sheet1!AI307</f>
        <v>IMSON SAHRI-126370</v>
      </c>
      <c r="R307" t="str">
        <f>Sheet1!AJ307</f>
        <v/>
      </c>
      <c r="S307" t="str">
        <f>Sheet1!AK307</f>
        <v>Cancel</v>
      </c>
      <c r="T307" t="str">
        <f>Sheet1!AL307</f>
        <v>SA</v>
      </c>
      <c r="U307">
        <f t="shared" si="4"/>
        <v>0</v>
      </c>
    </row>
    <row r="308" spans="1:21" x14ac:dyDescent="0.25">
      <c r="A308">
        <f>Sheet1!A308</f>
        <v>307</v>
      </c>
      <c r="B308" t="str">
        <f>Sheet1!B308</f>
        <v>BOGOR</v>
      </c>
      <c r="C308" t="str">
        <f>Sheet1!C308</f>
        <v>JEFFRY SUSANTO</v>
      </c>
      <c r="D308" t="str">
        <f>Sheet1!D308</f>
        <v>ODRNO2607230006</v>
      </c>
      <c r="E308" t="str">
        <f>Sheet1!E308</f>
        <v>812PRS20260701422</v>
      </c>
      <c r="F308" t="str">
        <f>Sheet1!F308</f>
        <v>Sales Agent (SA)</v>
      </c>
      <c r="G308">
        <f>Sheet1!G308</f>
        <v>0</v>
      </c>
      <c r="H308" t="str">
        <f>Sheet1!H308</f>
        <v>812APP20260700046</v>
      </c>
      <c r="I308" t="str">
        <f>Sheet1!I308</f>
        <v>EKA SUNARYO</v>
      </c>
      <c r="J308" s="2">
        <f>Sheet1!K308</f>
        <v>46226.253959988397</v>
      </c>
      <c r="K308" s="2">
        <f>Sheet1!L308</f>
        <v>46233.545802465298</v>
      </c>
      <c r="L308" t="str">
        <f>Sheet1!M308</f>
        <v>Return Handling</v>
      </c>
      <c r="M308" t="str">
        <f>Sheet1!P308</f>
        <v>HINO</v>
      </c>
      <c r="N308" t="str">
        <f>Sheet1!Q308</f>
        <v>2023</v>
      </c>
      <c r="O308">
        <f>Sheet1!AB308</f>
        <v>0</v>
      </c>
      <c r="P308" s="2">
        <f>Sheet1!AD308</f>
        <v>46231</v>
      </c>
      <c r="Q308" t="str">
        <f>Sheet1!AI308</f>
        <v>SUHERY-226135</v>
      </c>
      <c r="R308" t="str">
        <f>Sheet1!AJ308</f>
        <v/>
      </c>
      <c r="S308" t="str">
        <f>Sheet1!AK308</f>
        <v>In Proses</v>
      </c>
      <c r="T308" t="str">
        <f>Sheet1!AL308</f>
        <v>SA</v>
      </c>
      <c r="U308" t="str">
        <f t="shared" si="4"/>
        <v>Done Survey</v>
      </c>
    </row>
    <row r="309" spans="1:21" x14ac:dyDescent="0.25">
      <c r="A309">
        <f>Sheet1!A309</f>
        <v>308</v>
      </c>
      <c r="B309" t="str">
        <f>Sheet1!B309</f>
        <v>BOGOR</v>
      </c>
      <c r="C309" t="str">
        <f>Sheet1!C309</f>
        <v>AZIS LAMAJIDO</v>
      </c>
      <c r="D309" t="str">
        <f>Sheet1!D309</f>
        <v>ODRNO2607230129</v>
      </c>
      <c r="E309" t="str">
        <f>Sheet1!E309</f>
        <v>812PRS20260701426</v>
      </c>
      <c r="F309" t="str">
        <f>Sheet1!F309</f>
        <v>Sales Agent (SA)</v>
      </c>
      <c r="G309" t="str">
        <f>Sheet1!G309</f>
        <v>8121022600023</v>
      </c>
      <c r="H309" t="str">
        <f>Sheet1!H309</f>
        <v>812APP20260700033</v>
      </c>
      <c r="I309" t="str">
        <f>Sheet1!I309</f>
        <v>EKA SUNARYO</v>
      </c>
      <c r="J309" s="2">
        <f>Sheet1!K309</f>
        <v>46226.536941469902</v>
      </c>
      <c r="K309" s="2">
        <f>Sheet1!L309</f>
        <v>46228.5442833333</v>
      </c>
      <c r="L309" t="str">
        <f>Sheet1!M309</f>
        <v>Go Live</v>
      </c>
      <c r="M309" t="str">
        <f>Sheet1!P309</f>
        <v>TOYOTA</v>
      </c>
      <c r="N309" t="str">
        <f>Sheet1!Q309</f>
        <v>2017</v>
      </c>
      <c r="O309">
        <f>Sheet1!AB309</f>
        <v>119000000</v>
      </c>
      <c r="P309" s="2">
        <f>Sheet1!AD309</f>
        <v>46227</v>
      </c>
      <c r="Q309" t="str">
        <f>Sheet1!AI309</f>
        <v>BILLIE SAPTORANGGA-226140</v>
      </c>
      <c r="R309" t="str">
        <f>Sheet1!AJ309</f>
        <v/>
      </c>
      <c r="S309" t="str">
        <f>Sheet1!AK309</f>
        <v>Golive</v>
      </c>
      <c r="T309" t="str">
        <f>Sheet1!AL309</f>
        <v>SA</v>
      </c>
      <c r="U309" t="str">
        <f t="shared" si="4"/>
        <v>Done Survey</v>
      </c>
    </row>
    <row r="310" spans="1:21" x14ac:dyDescent="0.25">
      <c r="A310">
        <f>Sheet1!A310</f>
        <v>309</v>
      </c>
      <c r="B310" t="str">
        <f>Sheet1!B310</f>
        <v>BOGOR</v>
      </c>
      <c r="C310" t="str">
        <f>Sheet1!C310</f>
        <v>Muhamad fahmi sanusi</v>
      </c>
      <c r="D310" t="str">
        <f>Sheet1!D310</f>
        <v>ODRNO2607230188</v>
      </c>
      <c r="E310" t="str">
        <f>Sheet1!E310</f>
        <v>812PRS20260701427</v>
      </c>
      <c r="F310" t="str">
        <f>Sheet1!F310</f>
        <v>Sales Agent (SA)</v>
      </c>
      <c r="G310">
        <f>Sheet1!G310</f>
        <v>0</v>
      </c>
      <c r="H310">
        <f>Sheet1!H310</f>
        <v>0</v>
      </c>
      <c r="I310" t="str">
        <f>Sheet1!I310</f>
        <v>SENJAYA BUDIMAN</v>
      </c>
      <c r="J310" s="2">
        <f>Sheet1!K310</f>
        <v>46226.687051585701</v>
      </c>
      <c r="K310" s="2">
        <f>Sheet1!L310</f>
        <v>46234.333357638898</v>
      </c>
      <c r="L310" t="str">
        <f>Sheet1!M310</f>
        <v>Prospect Cancel</v>
      </c>
      <c r="M310" t="str">
        <f>Sheet1!P310</f>
        <v>DAIHATSU</v>
      </c>
      <c r="N310" t="str">
        <f>Sheet1!Q310</f>
        <v>2020</v>
      </c>
      <c r="O310">
        <f>Sheet1!AB310</f>
        <v>0</v>
      </c>
      <c r="P310" s="2">
        <f>Sheet1!AD310</f>
        <v>0</v>
      </c>
      <c r="Q310" t="str">
        <f>Sheet1!AI310</f>
        <v>HASRIYANTO-0626010</v>
      </c>
      <c r="R310" t="str">
        <f>Sheet1!AJ310</f>
        <v/>
      </c>
      <c r="S310" t="str">
        <f>Sheet1!AK310</f>
        <v>Cancel</v>
      </c>
      <c r="T310" t="str">
        <f>Sheet1!AL310</f>
        <v>SA</v>
      </c>
      <c r="U310">
        <f t="shared" si="4"/>
        <v>0</v>
      </c>
    </row>
    <row r="311" spans="1:21" x14ac:dyDescent="0.25">
      <c r="A311">
        <f>Sheet1!A311</f>
        <v>310</v>
      </c>
      <c r="B311" t="str">
        <f>Sheet1!B311</f>
        <v>FATMAWATI</v>
      </c>
      <c r="C311" t="str">
        <f>Sheet1!C311</f>
        <v>nur khasanah</v>
      </c>
      <c r="D311" t="str">
        <f>Sheet1!D311</f>
        <v>ODRNO2607230044</v>
      </c>
      <c r="E311" t="str">
        <f>Sheet1!E311</f>
        <v>802PRS20260702407</v>
      </c>
      <c r="F311" t="str">
        <f>Sheet1!F311</f>
        <v>Sales Agent (SA)</v>
      </c>
      <c r="G311">
        <f>Sheet1!G311</f>
        <v>0</v>
      </c>
      <c r="H311">
        <f>Sheet1!H311</f>
        <v>0</v>
      </c>
      <c r="I311" t="str">
        <f>Sheet1!I311</f>
        <v>RIZQI APRIANSYAH</v>
      </c>
      <c r="J311" s="2">
        <f>Sheet1!K311</f>
        <v>46226.382151157399</v>
      </c>
      <c r="K311" s="2">
        <f>Sheet1!L311</f>
        <v>46234.333357638898</v>
      </c>
      <c r="L311" t="str">
        <f>Sheet1!M311</f>
        <v>Prospect Cancel</v>
      </c>
      <c r="M311" t="str">
        <f>Sheet1!P311</f>
        <v>TOYOTA</v>
      </c>
      <c r="N311" t="str">
        <f>Sheet1!Q311</f>
        <v>2022</v>
      </c>
      <c r="O311">
        <f>Sheet1!AB311</f>
        <v>0</v>
      </c>
      <c r="P311" s="2">
        <f>Sheet1!AD311</f>
        <v>0</v>
      </c>
      <c r="Q311" t="str">
        <f>Sheet1!AI311</f>
        <v>IMAN NURIMAN-226063</v>
      </c>
      <c r="R311" t="str">
        <f>Sheet1!AJ311</f>
        <v/>
      </c>
      <c r="S311" t="str">
        <f>Sheet1!AK311</f>
        <v>Cancel</v>
      </c>
      <c r="T311" t="str">
        <f>Sheet1!AL311</f>
        <v>SA</v>
      </c>
      <c r="U311">
        <f t="shared" si="4"/>
        <v>0</v>
      </c>
    </row>
    <row r="312" spans="1:21" x14ac:dyDescent="0.25">
      <c r="A312">
        <f>Sheet1!A312</f>
        <v>311</v>
      </c>
      <c r="B312" t="str">
        <f>Sheet1!B312</f>
        <v>FATMAWATI</v>
      </c>
      <c r="C312" t="str">
        <f>Sheet1!C312</f>
        <v>MUHAMAD KARTIMBANG</v>
      </c>
      <c r="D312" t="str">
        <f>Sheet1!D312</f>
        <v>ODRNO2607230053</v>
      </c>
      <c r="E312" t="str">
        <f>Sheet1!E312</f>
        <v>802PRS20260702409</v>
      </c>
      <c r="F312" t="str">
        <f>Sheet1!F312</f>
        <v>Sales Agent (SA)</v>
      </c>
      <c r="G312">
        <f>Sheet1!G312</f>
        <v>0</v>
      </c>
      <c r="H312">
        <f>Sheet1!H312</f>
        <v>0</v>
      </c>
      <c r="I312" t="str">
        <f>Sheet1!I312</f>
        <v>RIZQI APRIANSYAH</v>
      </c>
      <c r="J312" s="2">
        <f>Sheet1!K312</f>
        <v>46226.395449502299</v>
      </c>
      <c r="K312" s="2">
        <f>Sheet1!L312</f>
        <v>46227.6379115741</v>
      </c>
      <c r="L312" t="str">
        <f>Sheet1!M312</f>
        <v>Prospect Cancel</v>
      </c>
      <c r="M312" t="str">
        <f>Sheet1!P312</f>
        <v>WULING</v>
      </c>
      <c r="N312" t="str">
        <f>Sheet1!Q312</f>
        <v>2025</v>
      </c>
      <c r="O312">
        <f>Sheet1!AB312</f>
        <v>0</v>
      </c>
      <c r="P312" s="2">
        <f>Sheet1!AD312</f>
        <v>0</v>
      </c>
      <c r="Q312" t="str">
        <f>Sheet1!AI312</f>
        <v>RENDI TRIANTARA-0726013</v>
      </c>
      <c r="R312" t="str">
        <f>Sheet1!AJ312</f>
        <v/>
      </c>
      <c r="S312" t="str">
        <f>Sheet1!AK312</f>
        <v>Cancel</v>
      </c>
      <c r="T312" t="str">
        <f>Sheet1!AL312</f>
        <v>SA</v>
      </c>
      <c r="U312">
        <f t="shared" si="4"/>
        <v>0</v>
      </c>
    </row>
    <row r="313" spans="1:21" x14ac:dyDescent="0.25">
      <c r="A313">
        <f>Sheet1!A313</f>
        <v>312</v>
      </c>
      <c r="B313" t="str">
        <f>Sheet1!B313</f>
        <v>LAMPUNG</v>
      </c>
      <c r="C313" t="str">
        <f>Sheet1!C313</f>
        <v>riady amartha</v>
      </c>
      <c r="D313" t="str">
        <f>Sheet1!D313</f>
        <v>ODRNO2607230082</v>
      </c>
      <c r="E313" t="str">
        <f>Sheet1!E313</f>
        <v>810PRS20260700733</v>
      </c>
      <c r="F313" t="str">
        <f>Sheet1!F313</f>
        <v>Sales Agent (SA)</v>
      </c>
      <c r="G313">
        <f>Sheet1!G313</f>
        <v>0</v>
      </c>
      <c r="H313">
        <f>Sheet1!H313</f>
        <v>0</v>
      </c>
      <c r="I313" t="str">
        <f>Sheet1!I313</f>
        <v>AZWAN</v>
      </c>
      <c r="J313" s="2">
        <f>Sheet1!K313</f>
        <v>46226.449508252299</v>
      </c>
      <c r="K313" s="2">
        <f>Sheet1!L313</f>
        <v>46234.333357638898</v>
      </c>
      <c r="L313" t="str">
        <f>Sheet1!M313</f>
        <v>Prospect Cancel</v>
      </c>
      <c r="M313" t="str">
        <f>Sheet1!P313</f>
        <v>DAIHATSU</v>
      </c>
      <c r="N313" t="str">
        <f>Sheet1!Q313</f>
        <v>2016</v>
      </c>
      <c r="O313">
        <f>Sheet1!AB313</f>
        <v>0</v>
      </c>
      <c r="P313" s="2">
        <f>Sheet1!AD313</f>
        <v>0</v>
      </c>
      <c r="Q313" t="str">
        <f>Sheet1!AI313</f>
        <v>DWI SINTA FEBRIANA-126006</v>
      </c>
      <c r="R313" t="str">
        <f>Sheet1!AJ313</f>
        <v/>
      </c>
      <c r="S313" t="str">
        <f>Sheet1!AK313</f>
        <v>Cancel</v>
      </c>
      <c r="T313" t="str">
        <f>Sheet1!AL313</f>
        <v>SA</v>
      </c>
      <c r="U313">
        <f t="shared" si="4"/>
        <v>0</v>
      </c>
    </row>
    <row r="314" spans="1:21" x14ac:dyDescent="0.25">
      <c r="A314">
        <f>Sheet1!A314</f>
        <v>313</v>
      </c>
      <c r="B314" t="str">
        <f>Sheet1!B314</f>
        <v>LAMPUNG</v>
      </c>
      <c r="C314" t="str">
        <f>Sheet1!C314</f>
        <v>zainudin</v>
      </c>
      <c r="D314" t="str">
        <f>Sheet1!D314</f>
        <v>ODRNO2607230174</v>
      </c>
      <c r="E314" t="str">
        <f>Sheet1!E314</f>
        <v>810PRS20260700736</v>
      </c>
      <c r="F314" t="str">
        <f>Sheet1!F314</f>
        <v>Sales Agent (SA)</v>
      </c>
      <c r="G314">
        <f>Sheet1!G314</f>
        <v>0</v>
      </c>
      <c r="H314">
        <f>Sheet1!H314</f>
        <v>0</v>
      </c>
      <c r="I314" t="str">
        <f>Sheet1!I314</f>
        <v>AZWAN</v>
      </c>
      <c r="J314" s="2">
        <f>Sheet1!K314</f>
        <v>46226.639327430603</v>
      </c>
      <c r="K314" s="2">
        <f>Sheet1!L314</f>
        <v>46234.333357638898</v>
      </c>
      <c r="L314" t="str">
        <f>Sheet1!M314</f>
        <v>Prospect Cancel</v>
      </c>
      <c r="M314" t="str">
        <f>Sheet1!P314</f>
        <v>DAIHATSU</v>
      </c>
      <c r="N314" t="str">
        <f>Sheet1!Q314</f>
        <v>2015</v>
      </c>
      <c r="O314">
        <f>Sheet1!AB314</f>
        <v>0</v>
      </c>
      <c r="P314" s="2">
        <f>Sheet1!AD314</f>
        <v>0</v>
      </c>
      <c r="Q314" t="str">
        <f>Sheet1!AI314</f>
        <v>HENDI KURNIAWAN-126018</v>
      </c>
      <c r="R314" t="str">
        <f>Sheet1!AJ314</f>
        <v/>
      </c>
      <c r="S314" t="str">
        <f>Sheet1!AK314</f>
        <v>Cancel</v>
      </c>
      <c r="T314" t="str">
        <f>Sheet1!AL314</f>
        <v>SA</v>
      </c>
      <c r="U314">
        <f t="shared" si="4"/>
        <v>0</v>
      </c>
    </row>
    <row r="315" spans="1:21" x14ac:dyDescent="0.25">
      <c r="A315">
        <f>Sheet1!A315</f>
        <v>314</v>
      </c>
      <c r="B315" t="str">
        <f>Sheet1!B315</f>
        <v>MEDAN DUA</v>
      </c>
      <c r="C315" t="str">
        <f>Sheet1!C315</f>
        <v>NGATASI PARLINDUNGAN TARIGAN</v>
      </c>
      <c r="D315" t="str">
        <f>Sheet1!D315</f>
        <v>ODRNO2607230104</v>
      </c>
      <c r="E315" t="str">
        <f>Sheet1!E315</f>
        <v>839PRS20260700971</v>
      </c>
      <c r="F315" t="str">
        <f>Sheet1!F315</f>
        <v>Sales Agent (SA)</v>
      </c>
      <c r="G315">
        <f>Sheet1!G315</f>
        <v>0</v>
      </c>
      <c r="H315">
        <f>Sheet1!H315</f>
        <v>0</v>
      </c>
      <c r="I315" t="str">
        <f>Sheet1!I315</f>
        <v>WASTO SIHOMBING</v>
      </c>
      <c r="J315" s="2">
        <f>Sheet1!K315</f>
        <v>46226.479866087997</v>
      </c>
      <c r="K315" s="2">
        <f>Sheet1!L315</f>
        <v>46226.493117974504</v>
      </c>
      <c r="L315" t="str">
        <f>Sheet1!M315</f>
        <v>Prospect Cancel</v>
      </c>
      <c r="M315" t="str">
        <f>Sheet1!P315</f>
        <v>TOYOTA</v>
      </c>
      <c r="N315" t="str">
        <f>Sheet1!Q315</f>
        <v>2018</v>
      </c>
      <c r="O315">
        <f>Sheet1!AB315</f>
        <v>0</v>
      </c>
      <c r="P315" s="2">
        <f>Sheet1!AD315</f>
        <v>0</v>
      </c>
      <c r="Q315" t="str">
        <f>Sheet1!AI315</f>
        <v>HERYANTO NABABAN-126406</v>
      </c>
      <c r="R315" t="str">
        <f>Sheet1!AJ315</f>
        <v/>
      </c>
      <c r="S315" t="str">
        <f>Sheet1!AK315</f>
        <v>Cancel</v>
      </c>
      <c r="T315" t="str">
        <f>Sheet1!AL315</f>
        <v>SA</v>
      </c>
      <c r="U315">
        <f t="shared" si="4"/>
        <v>0</v>
      </c>
    </row>
    <row r="316" spans="1:21" x14ac:dyDescent="0.25">
      <c r="A316">
        <f>Sheet1!A316</f>
        <v>315</v>
      </c>
      <c r="B316" t="str">
        <f>Sheet1!B316</f>
        <v>PALANGKARAYA</v>
      </c>
      <c r="C316" t="str">
        <f>Sheet1!C316</f>
        <v>ADE GUNA IRAWAN</v>
      </c>
      <c r="D316" t="str">
        <f>Sheet1!D316</f>
        <v>ODRNO2607230002</v>
      </c>
      <c r="E316" t="str">
        <f>Sheet1!E316</f>
        <v>829PRS20260701928</v>
      </c>
      <c r="F316" t="str">
        <f>Sheet1!F316</f>
        <v>Sales Agent (SA)</v>
      </c>
      <c r="G316" t="str">
        <f>Sheet1!G316</f>
        <v>8291032600007</v>
      </c>
      <c r="H316" t="str">
        <f>Sheet1!H316</f>
        <v>829APP20260700050</v>
      </c>
      <c r="I316" t="str">
        <f>Sheet1!I316</f>
        <v>RUSDHY</v>
      </c>
      <c r="J316" s="2">
        <f>Sheet1!K316</f>
        <v>46226.213280590302</v>
      </c>
      <c r="K316" s="2">
        <f>Sheet1!L316</f>
        <v>46230.681630983803</v>
      </c>
      <c r="L316" t="str">
        <f>Sheet1!M316</f>
        <v>Go Live</v>
      </c>
      <c r="M316" t="str">
        <f>Sheet1!P316</f>
        <v>TOYOTA</v>
      </c>
      <c r="N316" t="str">
        <f>Sheet1!Q316</f>
        <v>2012</v>
      </c>
      <c r="O316">
        <f>Sheet1!AB316</f>
        <v>81338000</v>
      </c>
      <c r="P316" s="2">
        <f>Sheet1!AD316</f>
        <v>46229</v>
      </c>
      <c r="Q316" t="str">
        <f>Sheet1!AI316</f>
        <v>HERIYADI-326036</v>
      </c>
      <c r="R316" t="str">
        <f>Sheet1!AJ316</f>
        <v/>
      </c>
      <c r="S316" t="str">
        <f>Sheet1!AK316</f>
        <v>Golive</v>
      </c>
      <c r="T316" t="str">
        <f>Sheet1!AL316</f>
        <v>SA</v>
      </c>
      <c r="U316" t="str">
        <f t="shared" si="4"/>
        <v>Done Survey</v>
      </c>
    </row>
    <row r="317" spans="1:21" x14ac:dyDescent="0.25">
      <c r="A317">
        <f>Sheet1!A317</f>
        <v>316</v>
      </c>
      <c r="B317" t="str">
        <f>Sheet1!B317</f>
        <v>PALANGKARAYA</v>
      </c>
      <c r="C317" t="str">
        <f>Sheet1!C317</f>
        <v>BOBY. I. RANAN</v>
      </c>
      <c r="D317" t="str">
        <f>Sheet1!D317</f>
        <v>ODRNO2607230226</v>
      </c>
      <c r="E317" t="str">
        <f>Sheet1!E317</f>
        <v>829PRS20260701935</v>
      </c>
      <c r="F317" t="str">
        <f>Sheet1!F317</f>
        <v>LandingPage</v>
      </c>
      <c r="G317">
        <f>Sheet1!G317</f>
        <v>0</v>
      </c>
      <c r="H317" t="str">
        <f>Sheet1!H317</f>
        <v>829APP20260700051</v>
      </c>
      <c r="I317" t="str">
        <f>Sheet1!I317</f>
        <v>M RIZKO MAULANA</v>
      </c>
      <c r="J317" s="2">
        <f>Sheet1!K317</f>
        <v>46226.963931168997</v>
      </c>
      <c r="K317" s="2">
        <f>Sheet1!L317</f>
        <v>46230.719264039399</v>
      </c>
      <c r="L317" t="str">
        <f>Sheet1!M317</f>
        <v>Return Handling</v>
      </c>
      <c r="M317" t="str">
        <f>Sheet1!P317</f>
        <v>TOYOTA</v>
      </c>
      <c r="N317" t="str">
        <f>Sheet1!Q317</f>
        <v>2020</v>
      </c>
      <c r="O317">
        <f>Sheet1!AB317</f>
        <v>0</v>
      </c>
      <c r="P317" s="2">
        <f>Sheet1!AD317</f>
        <v>46230</v>
      </c>
      <c r="Q317">
        <f>Sheet1!AI317</f>
        <v>0</v>
      </c>
      <c r="R317">
        <f>Sheet1!AJ317</f>
        <v>0</v>
      </c>
      <c r="S317" t="str">
        <f>Sheet1!AK317</f>
        <v>In Proses</v>
      </c>
      <c r="T317" t="str">
        <f>Sheet1!AL317</f>
        <v>SA</v>
      </c>
      <c r="U317" t="str">
        <f t="shared" si="4"/>
        <v>Done Survey</v>
      </c>
    </row>
    <row r="318" spans="1:21" x14ac:dyDescent="0.25">
      <c r="A318">
        <f>Sheet1!A318</f>
        <v>317</v>
      </c>
      <c r="B318" t="str">
        <f>Sheet1!B318</f>
        <v>PEKANBARU</v>
      </c>
      <c r="C318" t="str">
        <f>Sheet1!C318</f>
        <v>FAJRI ILHAMI</v>
      </c>
      <c r="D318" t="str">
        <f>Sheet1!D318</f>
        <v>ODRNO2607230081</v>
      </c>
      <c r="E318" t="str">
        <f>Sheet1!E318</f>
        <v>805PRS20260702771</v>
      </c>
      <c r="F318" t="str">
        <f>Sheet1!F318</f>
        <v>LandingPage</v>
      </c>
      <c r="G318">
        <f>Sheet1!G318</f>
        <v>0</v>
      </c>
      <c r="H318">
        <f>Sheet1!H318</f>
        <v>0</v>
      </c>
      <c r="I318" t="str">
        <f>Sheet1!I318</f>
        <v>MUHAMMAD RIDWAN</v>
      </c>
      <c r="J318" s="2">
        <f>Sheet1!K318</f>
        <v>46226.444381134301</v>
      </c>
      <c r="K318" s="2">
        <f>Sheet1!L318</f>
        <v>46234.333357638898</v>
      </c>
      <c r="L318" t="str">
        <f>Sheet1!M318</f>
        <v>Prospect Cancel</v>
      </c>
      <c r="M318" t="str">
        <f>Sheet1!P318</f>
        <v>TOYOTA</v>
      </c>
      <c r="N318" t="str">
        <f>Sheet1!Q318</f>
        <v>2016</v>
      </c>
      <c r="O318">
        <f>Sheet1!AB318</f>
        <v>0</v>
      </c>
      <c r="P318" s="2">
        <f>Sheet1!AD318</f>
        <v>0</v>
      </c>
      <c r="Q318">
        <f>Sheet1!AI318</f>
        <v>0</v>
      </c>
      <c r="R318">
        <f>Sheet1!AJ318</f>
        <v>0</v>
      </c>
      <c r="S318" t="str">
        <f>Sheet1!AK318</f>
        <v>Cancel</v>
      </c>
      <c r="T318" t="str">
        <f>Sheet1!AL318</f>
        <v>SA</v>
      </c>
      <c r="U318">
        <f t="shared" si="4"/>
        <v>0</v>
      </c>
    </row>
    <row r="319" spans="1:21" x14ac:dyDescent="0.25">
      <c r="A319">
        <f>Sheet1!A319</f>
        <v>318</v>
      </c>
      <c r="B319" t="str">
        <f>Sheet1!B319</f>
        <v>SEMARANG</v>
      </c>
      <c r="C319" t="str">
        <f>Sheet1!C319</f>
        <v>MASHARI</v>
      </c>
      <c r="D319" t="str">
        <f>Sheet1!D319</f>
        <v>ODRNO2607230036</v>
      </c>
      <c r="E319" t="str">
        <f>Sheet1!E319</f>
        <v>816PRS20260700645</v>
      </c>
      <c r="F319" t="str">
        <f>Sheet1!F319</f>
        <v>Sales Agent (SA)</v>
      </c>
      <c r="G319">
        <f>Sheet1!G319</f>
        <v>0</v>
      </c>
      <c r="H319">
        <f>Sheet1!H319</f>
        <v>0</v>
      </c>
      <c r="I319" t="str">
        <f>Sheet1!I319</f>
        <v>SIGIT SUBEKTI</v>
      </c>
      <c r="J319" s="2">
        <f>Sheet1!K319</f>
        <v>46226.373368831002</v>
      </c>
      <c r="K319" s="2">
        <f>Sheet1!L319</f>
        <v>46226.3871321759</v>
      </c>
      <c r="L319" t="str">
        <f>Sheet1!M319</f>
        <v>Assignment Survey 1</v>
      </c>
      <c r="M319" t="str">
        <f>Sheet1!P319</f>
        <v>TOYOTA</v>
      </c>
      <c r="N319" t="str">
        <f>Sheet1!Q319</f>
        <v>2017</v>
      </c>
      <c r="O319">
        <f>Sheet1!AB319</f>
        <v>0</v>
      </c>
      <c r="P319" s="2">
        <f>Sheet1!AD319</f>
        <v>0</v>
      </c>
      <c r="Q319" t="str">
        <f>Sheet1!AI319</f>
        <v>MUHAMAD SOLIKIN-226139</v>
      </c>
      <c r="R319" t="str">
        <f>Sheet1!AJ319</f>
        <v/>
      </c>
      <c r="S319" t="str">
        <f>Sheet1!AK319</f>
        <v>In Proses</v>
      </c>
      <c r="T319" t="str">
        <f>Sheet1!AL319</f>
        <v>SA</v>
      </c>
      <c r="U319">
        <f t="shared" si="4"/>
        <v>0</v>
      </c>
    </row>
    <row r="320" spans="1:21" x14ac:dyDescent="0.25">
      <c r="A320">
        <f>Sheet1!A320</f>
        <v>319</v>
      </c>
      <c r="B320" t="str">
        <f>Sheet1!B320</f>
        <v>SUKABUMI</v>
      </c>
      <c r="C320" t="str">
        <f>Sheet1!C320</f>
        <v>yus eher</v>
      </c>
      <c r="D320" t="str">
        <f>Sheet1!D320</f>
        <v>ODRNO2607230094</v>
      </c>
      <c r="E320" t="str">
        <f>Sheet1!E320</f>
        <v>841PRS20260701253</v>
      </c>
      <c r="F320" t="str">
        <f>Sheet1!F320</f>
        <v>Sales Agent (SA)</v>
      </c>
      <c r="G320">
        <f>Sheet1!G320</f>
        <v>0</v>
      </c>
      <c r="H320">
        <f>Sheet1!H320</f>
        <v>0</v>
      </c>
      <c r="I320" t="str">
        <f>Sheet1!I320</f>
        <v>BAYU SAPUTRA</v>
      </c>
      <c r="J320" s="2">
        <f>Sheet1!K320</f>
        <v>46226.465479398103</v>
      </c>
      <c r="K320" s="2">
        <f>Sheet1!L320</f>
        <v>46234.333357638898</v>
      </c>
      <c r="L320" t="str">
        <f>Sheet1!M320</f>
        <v>Prospect Cancel</v>
      </c>
      <c r="M320" t="str">
        <f>Sheet1!P320</f>
        <v>SUZUKI</v>
      </c>
      <c r="N320" t="str">
        <f>Sheet1!Q320</f>
        <v>2018</v>
      </c>
      <c r="O320">
        <f>Sheet1!AB320</f>
        <v>0</v>
      </c>
      <c r="P320" s="2">
        <f>Sheet1!AD320</f>
        <v>0</v>
      </c>
      <c r="Q320" t="str">
        <f>Sheet1!AI320</f>
        <v>A A GEDE BAGUS PUTRA WIRAWAN-0626024</v>
      </c>
      <c r="R320" t="str">
        <f>Sheet1!AJ320</f>
        <v/>
      </c>
      <c r="S320" t="str">
        <f>Sheet1!AK320</f>
        <v>Cancel</v>
      </c>
      <c r="T320" t="str">
        <f>Sheet1!AL320</f>
        <v>SA</v>
      </c>
      <c r="U320">
        <f t="shared" si="4"/>
        <v>0</v>
      </c>
    </row>
    <row r="321" spans="1:21" x14ac:dyDescent="0.25">
      <c r="A321">
        <f>Sheet1!A321</f>
        <v>320</v>
      </c>
      <c r="B321" t="str">
        <f>Sheet1!B321</f>
        <v>YOGYAKARTA</v>
      </c>
      <c r="C321" t="str">
        <f>Sheet1!C321</f>
        <v>MARYOTO</v>
      </c>
      <c r="D321" t="str">
        <f>Sheet1!D321</f>
        <v>ODRNO2607230018</v>
      </c>
      <c r="E321" t="str">
        <f>Sheet1!E321</f>
        <v>834PRS20260700838</v>
      </c>
      <c r="F321" t="str">
        <f>Sheet1!F321</f>
        <v>Sales Agent (SA)</v>
      </c>
      <c r="G321">
        <f>Sheet1!G321</f>
        <v>0</v>
      </c>
      <c r="H321">
        <f>Sheet1!H321</f>
        <v>0</v>
      </c>
      <c r="I321" t="str">
        <f>Sheet1!I321</f>
        <v>SOFYAN BAYU SAIFULLOH</v>
      </c>
      <c r="J321" s="2">
        <f>Sheet1!K321</f>
        <v>46226.323296955998</v>
      </c>
      <c r="K321" s="2">
        <f>Sheet1!L321</f>
        <v>46226.329914965303</v>
      </c>
      <c r="L321" t="str">
        <f>Sheet1!M321</f>
        <v>Must Edit Prospect on Confins</v>
      </c>
      <c r="M321" t="str">
        <f>Sheet1!P321</f>
        <v>TOYOTA</v>
      </c>
      <c r="N321" t="str">
        <f>Sheet1!Q321</f>
        <v>2019</v>
      </c>
      <c r="O321">
        <f>Sheet1!AB321</f>
        <v>0</v>
      </c>
      <c r="P321" s="2">
        <f>Sheet1!AD321</f>
        <v>0</v>
      </c>
      <c r="Q321" t="str">
        <f>Sheet1!AI321</f>
        <v>ALIF APRI HANSYAH-226174</v>
      </c>
      <c r="R321" t="str">
        <f>Sheet1!AJ321</f>
        <v/>
      </c>
      <c r="S321" t="str">
        <f>Sheet1!AK321</f>
        <v>In Proses</v>
      </c>
      <c r="T321" t="str">
        <f>Sheet1!AL321</f>
        <v>SA</v>
      </c>
      <c r="U321">
        <f t="shared" si="4"/>
        <v>0</v>
      </c>
    </row>
    <row r="322" spans="1:21" x14ac:dyDescent="0.25">
      <c r="A322">
        <f>Sheet1!A322</f>
        <v>321</v>
      </c>
      <c r="B322" t="str">
        <f>Sheet1!B322</f>
        <v>BALIKPAPAN</v>
      </c>
      <c r="C322" t="str">
        <f>Sheet1!C322</f>
        <v>HENDRO PURNOMO</v>
      </c>
      <c r="D322" t="str">
        <f>Sheet1!D322</f>
        <v>ODRNO2607240067</v>
      </c>
      <c r="E322" t="str">
        <f>Sheet1!E322</f>
        <v>824PRS20260700733</v>
      </c>
      <c r="F322" t="str">
        <f>Sheet1!F322</f>
        <v>Telemarketing Program</v>
      </c>
      <c r="G322" t="str">
        <f>Sheet1!G322</f>
        <v>8241032600007</v>
      </c>
      <c r="H322" t="str">
        <f>Sheet1!H322</f>
        <v>824APP20260700029</v>
      </c>
      <c r="I322" t="str">
        <f>Sheet1!I322</f>
        <v>JOSUA TARIGAN</v>
      </c>
      <c r="J322" s="2">
        <f>Sheet1!K322</f>
        <v>46227.455155011601</v>
      </c>
      <c r="K322" s="2">
        <f>Sheet1!L322</f>
        <v>46230.472413159703</v>
      </c>
      <c r="L322" t="str">
        <f>Sheet1!M322</f>
        <v>Go Live</v>
      </c>
      <c r="M322" t="str">
        <f>Sheet1!P322</f>
        <v>TOYOTA</v>
      </c>
      <c r="N322" t="str">
        <f>Sheet1!Q322</f>
        <v>2023</v>
      </c>
      <c r="O322">
        <f>Sheet1!AB322</f>
        <v>213579000</v>
      </c>
      <c r="P322" s="2">
        <f>Sheet1!AD322</f>
        <v>46230</v>
      </c>
      <c r="Q322">
        <f>Sheet1!AI322</f>
        <v>0</v>
      </c>
      <c r="R322">
        <f>Sheet1!AJ322</f>
        <v>0</v>
      </c>
      <c r="S322" t="str">
        <f>Sheet1!AK322</f>
        <v>Golive</v>
      </c>
      <c r="T322" t="str">
        <f>Sheet1!AL322</f>
        <v>Tele</v>
      </c>
      <c r="U322" t="str">
        <f t="shared" si="4"/>
        <v>Done Survey</v>
      </c>
    </row>
    <row r="323" spans="1:21" x14ac:dyDescent="0.25">
      <c r="A323">
        <f>Sheet1!A323</f>
        <v>322</v>
      </c>
      <c r="B323" t="str">
        <f>Sheet1!B323</f>
        <v>BANDUNG</v>
      </c>
      <c r="C323" t="str">
        <f>Sheet1!C323</f>
        <v>Taufik Haryadi Sutardi</v>
      </c>
      <c r="D323" t="str">
        <f>Sheet1!D323</f>
        <v>ODRNO2607240023</v>
      </c>
      <c r="E323" t="str">
        <f>Sheet1!E323</f>
        <v>813PRS20260705588</v>
      </c>
      <c r="F323" t="str">
        <f>Sheet1!F323</f>
        <v>Sales Agent (SA)</v>
      </c>
      <c r="G323">
        <f>Sheet1!G323</f>
        <v>0</v>
      </c>
      <c r="H323" t="str">
        <f>Sheet1!H323</f>
        <v>813APP20260700143</v>
      </c>
      <c r="I323" t="str">
        <f>Sheet1!I323</f>
        <v>RISKI DALNI</v>
      </c>
      <c r="J323" s="2">
        <f>Sheet1!K323</f>
        <v>46227.365341898098</v>
      </c>
      <c r="K323" s="2">
        <f>Sheet1!L323</f>
        <v>46231.931909178202</v>
      </c>
      <c r="L323" t="str">
        <f>Sheet1!M323</f>
        <v>Return Handling</v>
      </c>
      <c r="M323" t="str">
        <f>Sheet1!P323</f>
        <v>DAIHATSU</v>
      </c>
      <c r="N323" t="str">
        <f>Sheet1!Q323</f>
        <v>2021</v>
      </c>
      <c r="O323">
        <f>Sheet1!AB323</f>
        <v>0</v>
      </c>
      <c r="P323" s="2">
        <f>Sheet1!AD323</f>
        <v>46230</v>
      </c>
      <c r="Q323" t="str">
        <f>Sheet1!AI323</f>
        <v>ANGGA ABDUL ROZAQ-126023</v>
      </c>
      <c r="R323" t="str">
        <f>Sheet1!AJ323</f>
        <v/>
      </c>
      <c r="S323" t="str">
        <f>Sheet1!AK323</f>
        <v>In Proses</v>
      </c>
      <c r="T323" t="str">
        <f>Sheet1!AL323</f>
        <v>SA</v>
      </c>
      <c r="U323" t="str">
        <f t="shared" ref="U323:U386" si="5">IF(H323=0,0,"Done Survey")</f>
        <v>Done Survey</v>
      </c>
    </row>
    <row r="324" spans="1:21" x14ac:dyDescent="0.25">
      <c r="A324">
        <f>Sheet1!A324</f>
        <v>323</v>
      </c>
      <c r="B324" t="str">
        <f>Sheet1!B324</f>
        <v>BANDUNG</v>
      </c>
      <c r="C324" t="str">
        <f>Sheet1!C324</f>
        <v>APRIYANTI MANDASARI</v>
      </c>
      <c r="D324" t="str">
        <f>Sheet1!D324</f>
        <v>ODRNO2607240101</v>
      </c>
      <c r="E324" t="str">
        <f>Sheet1!E324</f>
        <v>813PRS20260705596</v>
      </c>
      <c r="F324" t="str">
        <f>Sheet1!F324</f>
        <v>Sales Agent (SA)</v>
      </c>
      <c r="G324">
        <f>Sheet1!G324</f>
        <v>0</v>
      </c>
      <c r="H324">
        <f>Sheet1!H324</f>
        <v>0</v>
      </c>
      <c r="I324" t="str">
        <f>Sheet1!I324</f>
        <v>RAMDHAN FIRMANSYAH</v>
      </c>
      <c r="J324" s="2">
        <f>Sheet1!K324</f>
        <v>46227.535594212997</v>
      </c>
      <c r="K324" s="2">
        <f>Sheet1!L324</f>
        <v>46235.333354166702</v>
      </c>
      <c r="L324" t="str">
        <f>Sheet1!M324</f>
        <v>Prospect Cancel</v>
      </c>
      <c r="M324" t="str">
        <f>Sheet1!P324</f>
        <v>DAIHATSU</v>
      </c>
      <c r="N324" t="str">
        <f>Sheet1!Q324</f>
        <v>2016</v>
      </c>
      <c r="O324">
        <f>Sheet1!AB324</f>
        <v>0</v>
      </c>
      <c r="P324" s="2">
        <f>Sheet1!AD324</f>
        <v>0</v>
      </c>
      <c r="Q324" t="str">
        <f>Sheet1!AI324</f>
        <v>MOCHAMAD SONSON AFIAT SE-126320</v>
      </c>
      <c r="R324" t="str">
        <f>Sheet1!AJ324</f>
        <v/>
      </c>
      <c r="S324" t="str">
        <f>Sheet1!AK324</f>
        <v>Cancel</v>
      </c>
      <c r="T324" t="str">
        <f>Sheet1!AL324</f>
        <v>SA</v>
      </c>
      <c r="U324">
        <f t="shared" si="5"/>
        <v>0</v>
      </c>
    </row>
    <row r="325" spans="1:21" x14ac:dyDescent="0.25">
      <c r="A325">
        <f>Sheet1!A325</f>
        <v>324</v>
      </c>
      <c r="B325" t="str">
        <f>Sheet1!B325</f>
        <v>BANDUNG</v>
      </c>
      <c r="C325" t="str">
        <f>Sheet1!C325</f>
        <v>Setia Permana Wangsadirana A.md</v>
      </c>
      <c r="D325" t="str">
        <f>Sheet1!D325</f>
        <v>ODRNO2607240153</v>
      </c>
      <c r="E325" t="str">
        <f>Sheet1!E325</f>
        <v>813PRS20260705604</v>
      </c>
      <c r="F325" t="str">
        <f>Sheet1!F325</f>
        <v>Sales Agent (SA)</v>
      </c>
      <c r="G325">
        <f>Sheet1!G325</f>
        <v>0</v>
      </c>
      <c r="H325">
        <f>Sheet1!H325</f>
        <v>0</v>
      </c>
      <c r="I325" t="str">
        <f>Sheet1!I325</f>
        <v>RISKI DALNI</v>
      </c>
      <c r="J325" s="2">
        <f>Sheet1!K325</f>
        <v>46227.632760567103</v>
      </c>
      <c r="K325" s="2">
        <f>Sheet1!L325</f>
        <v>46227.649390277802</v>
      </c>
      <c r="L325" t="str">
        <f>Sheet1!M325</f>
        <v>Prospect Cancel</v>
      </c>
      <c r="M325" t="str">
        <f>Sheet1!P325</f>
        <v>TOYOTA</v>
      </c>
      <c r="N325" t="str">
        <f>Sheet1!Q325</f>
        <v>2021</v>
      </c>
      <c r="O325">
        <f>Sheet1!AB325</f>
        <v>0</v>
      </c>
      <c r="P325" s="2">
        <f>Sheet1!AD325</f>
        <v>0</v>
      </c>
      <c r="Q325" t="str">
        <f>Sheet1!AI325</f>
        <v>ASEP DASA ADI RAHMATAN-0726089</v>
      </c>
      <c r="R325" t="str">
        <f>Sheet1!AJ325</f>
        <v/>
      </c>
      <c r="S325" t="str">
        <f>Sheet1!AK325</f>
        <v>Cancel</v>
      </c>
      <c r="T325" t="str">
        <f>Sheet1!AL325</f>
        <v>SA</v>
      </c>
      <c r="U325">
        <f t="shared" si="5"/>
        <v>0</v>
      </c>
    </row>
    <row r="326" spans="1:21" x14ac:dyDescent="0.25">
      <c r="A326">
        <f>Sheet1!A326</f>
        <v>325</v>
      </c>
      <c r="B326" t="str">
        <f>Sheet1!B326</f>
        <v>BANDUNG</v>
      </c>
      <c r="C326" t="str">
        <f>Sheet1!C326</f>
        <v>Julia Agustina Pratiwi</v>
      </c>
      <c r="D326" t="str">
        <f>Sheet1!D326</f>
        <v>ODRNO2607240156</v>
      </c>
      <c r="E326" t="str">
        <f>Sheet1!E326</f>
        <v>813PRS20260705605</v>
      </c>
      <c r="F326" t="str">
        <f>Sheet1!F326</f>
        <v>Sales Agent (SA)</v>
      </c>
      <c r="G326">
        <f>Sheet1!G326</f>
        <v>0</v>
      </c>
      <c r="H326">
        <f>Sheet1!H326</f>
        <v>0</v>
      </c>
      <c r="I326" t="str">
        <f>Sheet1!I326</f>
        <v>RISKI DALNI</v>
      </c>
      <c r="J326" s="2">
        <f>Sheet1!K326</f>
        <v>46227.635895023202</v>
      </c>
      <c r="K326" s="2">
        <f>Sheet1!L326</f>
        <v>46235.333354166702</v>
      </c>
      <c r="L326" t="str">
        <f>Sheet1!M326</f>
        <v>Prospect Cancel</v>
      </c>
      <c r="M326" t="str">
        <f>Sheet1!P326</f>
        <v>KIA</v>
      </c>
      <c r="N326" t="str">
        <f>Sheet1!Q326</f>
        <v>2012</v>
      </c>
      <c r="O326">
        <f>Sheet1!AB326</f>
        <v>0</v>
      </c>
      <c r="P326" s="2">
        <f>Sheet1!AD326</f>
        <v>0</v>
      </c>
      <c r="Q326" t="str">
        <f>Sheet1!AI326</f>
        <v>AHMAD ZAENI-0626025</v>
      </c>
      <c r="R326" t="str">
        <f>Sheet1!AJ326</f>
        <v/>
      </c>
      <c r="S326" t="str">
        <f>Sheet1!AK326</f>
        <v>Cancel</v>
      </c>
      <c r="T326" t="str">
        <f>Sheet1!AL326</f>
        <v>SA</v>
      </c>
      <c r="U326">
        <f t="shared" si="5"/>
        <v>0</v>
      </c>
    </row>
    <row r="327" spans="1:21" x14ac:dyDescent="0.25">
      <c r="A327">
        <f>Sheet1!A327</f>
        <v>326</v>
      </c>
      <c r="B327" t="str">
        <f>Sheet1!B327</f>
        <v>BANDUNG</v>
      </c>
      <c r="C327" t="str">
        <f>Sheet1!C327</f>
        <v>Rian Ginanjar</v>
      </c>
      <c r="D327" t="str">
        <f>Sheet1!D327</f>
        <v>ODRNO2607240165</v>
      </c>
      <c r="E327" t="str">
        <f>Sheet1!E327</f>
        <v>813PRS20260705607</v>
      </c>
      <c r="F327" t="str">
        <f>Sheet1!F327</f>
        <v>Sales Agent (SA)</v>
      </c>
      <c r="G327">
        <f>Sheet1!G327</f>
        <v>0</v>
      </c>
      <c r="H327">
        <f>Sheet1!H327</f>
        <v>0</v>
      </c>
      <c r="I327" t="str">
        <f>Sheet1!I327</f>
        <v>RISKI DALNI</v>
      </c>
      <c r="J327" s="2">
        <f>Sheet1!K327</f>
        <v>46227.650041284702</v>
      </c>
      <c r="K327" s="2">
        <f>Sheet1!L327</f>
        <v>46235.333354166702</v>
      </c>
      <c r="L327" t="str">
        <f>Sheet1!M327</f>
        <v>Prospect Cancel</v>
      </c>
      <c r="M327" t="str">
        <f>Sheet1!P327</f>
        <v>HONDA</v>
      </c>
      <c r="N327" t="str">
        <f>Sheet1!Q327</f>
        <v>2018</v>
      </c>
      <c r="O327">
        <f>Sheet1!AB327</f>
        <v>0</v>
      </c>
      <c r="P327" s="2">
        <f>Sheet1!AD327</f>
        <v>0</v>
      </c>
      <c r="Q327" t="str">
        <f>Sheet1!AI327</f>
        <v>DEAMPSY SATRIA SWAWIBAWA-0626032</v>
      </c>
      <c r="R327" t="str">
        <f>Sheet1!AJ327</f>
        <v/>
      </c>
      <c r="S327" t="str">
        <f>Sheet1!AK327</f>
        <v>Cancel</v>
      </c>
      <c r="T327" t="str">
        <f>Sheet1!AL327</f>
        <v>SA</v>
      </c>
      <c r="U327">
        <f t="shared" si="5"/>
        <v>0</v>
      </c>
    </row>
    <row r="328" spans="1:21" x14ac:dyDescent="0.25">
      <c r="A328">
        <f>Sheet1!A328</f>
        <v>327</v>
      </c>
      <c r="B328" t="str">
        <f>Sheet1!B328</f>
        <v>BEKASI</v>
      </c>
      <c r="C328" t="str">
        <f>Sheet1!C328</f>
        <v>ALI NURACHMAN</v>
      </c>
      <c r="D328" t="str">
        <f>Sheet1!D328</f>
        <v>ODRNO2607240135</v>
      </c>
      <c r="E328" t="str">
        <f>Sheet1!E328</f>
        <v>811PRS20260705014</v>
      </c>
      <c r="F328" t="str">
        <f>Sheet1!F328</f>
        <v>Sales Agent (SA)</v>
      </c>
      <c r="G328">
        <f>Sheet1!G328</f>
        <v>0</v>
      </c>
      <c r="H328">
        <f>Sheet1!H328</f>
        <v>0</v>
      </c>
      <c r="I328" t="str">
        <f>Sheet1!I328</f>
        <v>KURNIAWAN ARIBOWO</v>
      </c>
      <c r="J328" s="2">
        <f>Sheet1!K328</f>
        <v>46227.591276539402</v>
      </c>
      <c r="K328" s="2">
        <f>Sheet1!L328</f>
        <v>46235.333354166702</v>
      </c>
      <c r="L328" t="str">
        <f>Sheet1!M328</f>
        <v>Prospect Cancel</v>
      </c>
      <c r="M328" t="str">
        <f>Sheet1!P328</f>
        <v>DAIHATSU</v>
      </c>
      <c r="N328" t="str">
        <f>Sheet1!Q328</f>
        <v>2018</v>
      </c>
      <c r="O328">
        <f>Sheet1!AB328</f>
        <v>0</v>
      </c>
      <c r="P328" s="2">
        <f>Sheet1!AD328</f>
        <v>0</v>
      </c>
      <c r="Q328" t="str">
        <f>Sheet1!AI328</f>
        <v>HUMAIROH-326154</v>
      </c>
      <c r="R328" t="str">
        <f>Sheet1!AJ328</f>
        <v/>
      </c>
      <c r="S328" t="str">
        <f>Sheet1!AK328</f>
        <v>Cancel</v>
      </c>
      <c r="T328" t="str">
        <f>Sheet1!AL328</f>
        <v>SA</v>
      </c>
      <c r="U328">
        <f t="shared" si="5"/>
        <v>0</v>
      </c>
    </row>
    <row r="329" spans="1:21" x14ac:dyDescent="0.25">
      <c r="A329">
        <f>Sheet1!A329</f>
        <v>328</v>
      </c>
      <c r="B329" t="str">
        <f>Sheet1!B329</f>
        <v>BENGKULU</v>
      </c>
      <c r="C329" t="str">
        <f>Sheet1!C329</f>
        <v>anton sasriawan</v>
      </c>
      <c r="D329" t="str">
        <f>Sheet1!D329</f>
        <v>ODRNO2607240143</v>
      </c>
      <c r="E329" t="str">
        <f>Sheet1!E329</f>
        <v>809PRS20260701328</v>
      </c>
      <c r="F329" t="str">
        <f>Sheet1!F329</f>
        <v>Sales Agent (SA)</v>
      </c>
      <c r="G329">
        <f>Sheet1!G329</f>
        <v>0</v>
      </c>
      <c r="H329">
        <f>Sheet1!H329</f>
        <v>0</v>
      </c>
      <c r="I329" t="str">
        <f>Sheet1!I329</f>
        <v>ADE CHANDRA PANE</v>
      </c>
      <c r="J329" s="2">
        <f>Sheet1!K329</f>
        <v>46227.614145567102</v>
      </c>
      <c r="K329" s="2">
        <f>Sheet1!L329</f>
        <v>46235.333354166702</v>
      </c>
      <c r="L329" t="str">
        <f>Sheet1!M329</f>
        <v>Prospect Cancel</v>
      </c>
      <c r="M329" t="str">
        <f>Sheet1!P329</f>
        <v>DAIHATSU</v>
      </c>
      <c r="N329" t="str">
        <f>Sheet1!Q329</f>
        <v>2019</v>
      </c>
      <c r="O329">
        <f>Sheet1!AB329</f>
        <v>0</v>
      </c>
      <c r="P329" s="2">
        <f>Sheet1!AD329</f>
        <v>0</v>
      </c>
      <c r="Q329" t="str">
        <f>Sheet1!AI329</f>
        <v>IMSON SAHRI-126370</v>
      </c>
      <c r="R329" t="str">
        <f>Sheet1!AJ329</f>
        <v/>
      </c>
      <c r="S329" t="str">
        <f>Sheet1!AK329</f>
        <v>Cancel</v>
      </c>
      <c r="T329" t="str">
        <f>Sheet1!AL329</f>
        <v>SA</v>
      </c>
      <c r="U329">
        <f t="shared" si="5"/>
        <v>0</v>
      </c>
    </row>
    <row r="330" spans="1:21" x14ac:dyDescent="0.25">
      <c r="A330">
        <f>Sheet1!A330</f>
        <v>329</v>
      </c>
      <c r="B330" t="str">
        <f>Sheet1!B330</f>
        <v>BOGOR</v>
      </c>
      <c r="C330" t="str">
        <f>Sheet1!C330</f>
        <v>maria margaretha m</v>
      </c>
      <c r="D330" t="str">
        <f>Sheet1!D330</f>
        <v>ODRNO2607240082</v>
      </c>
      <c r="E330" t="str">
        <f>Sheet1!E330</f>
        <v>812PRS20260701430</v>
      </c>
      <c r="F330" t="str">
        <f>Sheet1!F330</f>
        <v>Sales Agent (SA)</v>
      </c>
      <c r="G330">
        <f>Sheet1!G330</f>
        <v>0</v>
      </c>
      <c r="H330">
        <f>Sheet1!H330</f>
        <v>0</v>
      </c>
      <c r="I330" t="str">
        <f>Sheet1!I330</f>
        <v>SENJAYA BUDIMAN</v>
      </c>
      <c r="J330" s="2">
        <f>Sheet1!K330</f>
        <v>46227.486408101897</v>
      </c>
      <c r="K330" s="2">
        <f>Sheet1!L330</f>
        <v>46235.333354166702</v>
      </c>
      <c r="L330" t="str">
        <f>Sheet1!M330</f>
        <v>Prospect Cancel</v>
      </c>
      <c r="M330" t="str">
        <f>Sheet1!P330</f>
        <v>FORD</v>
      </c>
      <c r="N330" t="str">
        <f>Sheet1!Q330</f>
        <v>2014</v>
      </c>
      <c r="O330">
        <f>Sheet1!AB330</f>
        <v>0</v>
      </c>
      <c r="P330" s="2">
        <f>Sheet1!AD330</f>
        <v>0</v>
      </c>
      <c r="Q330" t="str">
        <f>Sheet1!AI330</f>
        <v>ADI SUTEJO SE-526006</v>
      </c>
      <c r="R330" t="str">
        <f>Sheet1!AJ330</f>
        <v/>
      </c>
      <c r="S330" t="str">
        <f>Sheet1!AK330</f>
        <v>Cancel</v>
      </c>
      <c r="T330" t="str">
        <f>Sheet1!AL330</f>
        <v>SA</v>
      </c>
      <c r="U330">
        <f t="shared" si="5"/>
        <v>0</v>
      </c>
    </row>
    <row r="331" spans="1:21" x14ac:dyDescent="0.25">
      <c r="A331">
        <f>Sheet1!A331</f>
        <v>330</v>
      </c>
      <c r="B331" t="str">
        <f>Sheet1!B331</f>
        <v>BOGOR</v>
      </c>
      <c r="C331" t="str">
        <f>Sheet1!C331</f>
        <v>MUHAMMAD FIQRI RAHMADHAN</v>
      </c>
      <c r="D331" t="str">
        <f>Sheet1!D331</f>
        <v>ODRNO2607240219</v>
      </c>
      <c r="E331" t="str">
        <f>Sheet1!E331</f>
        <v>812PRS20260701435</v>
      </c>
      <c r="F331" t="str">
        <f>Sheet1!F331</f>
        <v>Sales Agent (SA)</v>
      </c>
      <c r="G331">
        <f>Sheet1!G331</f>
        <v>0</v>
      </c>
      <c r="H331">
        <f>Sheet1!H331</f>
        <v>0</v>
      </c>
      <c r="I331" t="str">
        <f>Sheet1!I331</f>
        <v>EKA SUNARYO</v>
      </c>
      <c r="J331" s="2">
        <f>Sheet1!K331</f>
        <v>46227.977225312497</v>
      </c>
      <c r="K331" s="2">
        <f>Sheet1!L331</f>
        <v>46233.406097766201</v>
      </c>
      <c r="L331" t="str">
        <f>Sheet1!M331</f>
        <v>Must Edit Prospect on Confins</v>
      </c>
      <c r="M331" t="str">
        <f>Sheet1!P331</f>
        <v>TOYOTA</v>
      </c>
      <c r="N331" t="str">
        <f>Sheet1!Q331</f>
        <v>2024</v>
      </c>
      <c r="O331">
        <f>Sheet1!AB331</f>
        <v>0</v>
      </c>
      <c r="P331" s="2">
        <f>Sheet1!AD331</f>
        <v>0</v>
      </c>
      <c r="Q331" t="str">
        <f>Sheet1!AI331</f>
        <v>AGUNG FEBRU SIREGAR-526005</v>
      </c>
      <c r="R331" t="str">
        <f>Sheet1!AJ331</f>
        <v/>
      </c>
      <c r="S331" t="str">
        <f>Sheet1!AK331</f>
        <v>In Proses</v>
      </c>
      <c r="T331" t="str">
        <f>Sheet1!AL331</f>
        <v>SA</v>
      </c>
      <c r="U331">
        <f t="shared" si="5"/>
        <v>0</v>
      </c>
    </row>
    <row r="332" spans="1:21" x14ac:dyDescent="0.25">
      <c r="A332">
        <f>Sheet1!A332</f>
        <v>331</v>
      </c>
      <c r="B332" t="str">
        <f>Sheet1!B332</f>
        <v>FATMAWATI</v>
      </c>
      <c r="C332" t="str">
        <f>Sheet1!C332</f>
        <v>MUHAMMAD FAHMI</v>
      </c>
      <c r="D332" t="str">
        <f>Sheet1!D332</f>
        <v>ODRNO2607240119</v>
      </c>
      <c r="E332" t="str">
        <f>Sheet1!E332</f>
        <v>802PRS20260702424</v>
      </c>
      <c r="F332" t="str">
        <f>Sheet1!F332</f>
        <v>Sales Agent (SA)</v>
      </c>
      <c r="G332">
        <f>Sheet1!G332</f>
        <v>0</v>
      </c>
      <c r="H332">
        <f>Sheet1!H332</f>
        <v>0</v>
      </c>
      <c r="I332" t="str">
        <f>Sheet1!I332</f>
        <v>RIZQI APRIANSYAH</v>
      </c>
      <c r="J332" s="2">
        <f>Sheet1!K332</f>
        <v>46227.564222141198</v>
      </c>
      <c r="K332" s="2">
        <f>Sheet1!L332</f>
        <v>46237.333353668997</v>
      </c>
      <c r="L332" t="str">
        <f>Sheet1!M332</f>
        <v>Prospect Cancel</v>
      </c>
      <c r="M332" t="str">
        <f>Sheet1!P332</f>
        <v>BYD</v>
      </c>
      <c r="N332" t="str">
        <f>Sheet1!Q332</f>
        <v>2025</v>
      </c>
      <c r="O332">
        <f>Sheet1!AB332</f>
        <v>0</v>
      </c>
      <c r="P332" s="2">
        <f>Sheet1!AD332</f>
        <v>0</v>
      </c>
      <c r="Q332" t="str">
        <f>Sheet1!AI332</f>
        <v>EKO SULISTYO UTOMO-0726087</v>
      </c>
      <c r="R332" t="str">
        <f>Sheet1!AJ332</f>
        <v/>
      </c>
      <c r="S332" t="str">
        <f>Sheet1!AK332</f>
        <v>Cancel</v>
      </c>
      <c r="T332" t="str">
        <f>Sheet1!AL332</f>
        <v>SA</v>
      </c>
      <c r="U332">
        <f t="shared" si="5"/>
        <v>0</v>
      </c>
    </row>
    <row r="333" spans="1:21" x14ac:dyDescent="0.25">
      <c r="A333">
        <f>Sheet1!A333</f>
        <v>332</v>
      </c>
      <c r="B333" t="str">
        <f>Sheet1!B333</f>
        <v>FATMAWATI</v>
      </c>
      <c r="C333" t="str">
        <f>Sheet1!C333</f>
        <v>AGNETHA FAUSTINA GERMAINE</v>
      </c>
      <c r="D333" t="str">
        <f>Sheet1!D333</f>
        <v>ODRNO2607240121</v>
      </c>
      <c r="E333" t="str">
        <f>Sheet1!E333</f>
        <v>802PRS20260702425</v>
      </c>
      <c r="F333" t="str">
        <f>Sheet1!F333</f>
        <v>Sales Agent (SA)</v>
      </c>
      <c r="G333">
        <f>Sheet1!G333</f>
        <v>0</v>
      </c>
      <c r="H333">
        <f>Sheet1!H333</f>
        <v>0</v>
      </c>
      <c r="I333" t="str">
        <f>Sheet1!I333</f>
        <v>RIZQI APRIANSYAH</v>
      </c>
      <c r="J333" s="2">
        <f>Sheet1!K333</f>
        <v>46227.567094131897</v>
      </c>
      <c r="K333" s="2">
        <f>Sheet1!L333</f>
        <v>46227.573018599498</v>
      </c>
      <c r="L333" t="str">
        <f>Sheet1!M333</f>
        <v>Prospect Cancel</v>
      </c>
      <c r="M333" t="str">
        <f>Sheet1!P333</f>
        <v>BYD</v>
      </c>
      <c r="N333" t="str">
        <f>Sheet1!Q333</f>
        <v>2025</v>
      </c>
      <c r="O333">
        <f>Sheet1!AB333</f>
        <v>0</v>
      </c>
      <c r="P333" s="2">
        <f>Sheet1!AD333</f>
        <v>0</v>
      </c>
      <c r="Q333" t="str">
        <f>Sheet1!AI333</f>
        <v>EKO SULISTYO UTOMO-0726087</v>
      </c>
      <c r="R333" t="str">
        <f>Sheet1!AJ333</f>
        <v/>
      </c>
      <c r="S333" t="str">
        <f>Sheet1!AK333</f>
        <v>Cancel</v>
      </c>
      <c r="T333" t="str">
        <f>Sheet1!AL333</f>
        <v>SA</v>
      </c>
      <c r="U333">
        <f t="shared" si="5"/>
        <v>0</v>
      </c>
    </row>
    <row r="334" spans="1:21" x14ac:dyDescent="0.25">
      <c r="A334">
        <f>Sheet1!A334</f>
        <v>333</v>
      </c>
      <c r="B334" t="str">
        <f>Sheet1!B334</f>
        <v>FATMAWATI</v>
      </c>
      <c r="C334" t="str">
        <f>Sheet1!C334</f>
        <v>BAYU CHARISMAPUTRA</v>
      </c>
      <c r="D334" t="str">
        <f>Sheet1!D334</f>
        <v>ODRNO2607240147</v>
      </c>
      <c r="E334" t="str">
        <f>Sheet1!E334</f>
        <v>802PRS20260702428</v>
      </c>
      <c r="F334" t="str">
        <f>Sheet1!F334</f>
        <v>Sales Agent (SA)</v>
      </c>
      <c r="G334">
        <f>Sheet1!G334</f>
        <v>0</v>
      </c>
      <c r="H334">
        <f>Sheet1!H334</f>
        <v>0</v>
      </c>
      <c r="I334" t="str">
        <f>Sheet1!I334</f>
        <v>DICKY APRIYADI</v>
      </c>
      <c r="J334" s="2">
        <f>Sheet1!K334</f>
        <v>46227.621280173596</v>
      </c>
      <c r="K334" s="2">
        <f>Sheet1!L334</f>
        <v>46235.333354166702</v>
      </c>
      <c r="L334" t="str">
        <f>Sheet1!M334</f>
        <v>Prospect Cancel</v>
      </c>
      <c r="M334" t="str">
        <f>Sheet1!P334</f>
        <v>TOYOTA</v>
      </c>
      <c r="N334" t="str">
        <f>Sheet1!Q334</f>
        <v>2017</v>
      </c>
      <c r="O334">
        <f>Sheet1!AB334</f>
        <v>0</v>
      </c>
      <c r="P334" s="2">
        <f>Sheet1!AD334</f>
        <v>0</v>
      </c>
      <c r="Q334" t="str">
        <f>Sheet1!AI334</f>
        <v>HENDHI WIJAYA-0726032</v>
      </c>
      <c r="R334" t="str">
        <f>Sheet1!AJ334</f>
        <v/>
      </c>
      <c r="S334" t="str">
        <f>Sheet1!AK334</f>
        <v>Cancel</v>
      </c>
      <c r="T334" t="str">
        <f>Sheet1!AL334</f>
        <v>SA</v>
      </c>
      <c r="U334">
        <f t="shared" si="5"/>
        <v>0</v>
      </c>
    </row>
    <row r="335" spans="1:21" x14ac:dyDescent="0.25">
      <c r="A335">
        <f>Sheet1!A335</f>
        <v>334</v>
      </c>
      <c r="B335" t="str">
        <f>Sheet1!B335</f>
        <v>LAMPUNG</v>
      </c>
      <c r="C335" t="str">
        <f>Sheet1!C335</f>
        <v>afifudin</v>
      </c>
      <c r="D335" t="str">
        <f>Sheet1!D335</f>
        <v>ODRNO2607240148</v>
      </c>
      <c r="E335" t="str">
        <f>Sheet1!E335</f>
        <v>810PRS20260700740</v>
      </c>
      <c r="F335" t="str">
        <f>Sheet1!F335</f>
        <v>Sales Agent (SA)</v>
      </c>
      <c r="G335">
        <f>Sheet1!G335</f>
        <v>0</v>
      </c>
      <c r="H335">
        <f>Sheet1!H335</f>
        <v>0</v>
      </c>
      <c r="I335" t="str">
        <f>Sheet1!I335</f>
        <v>AZWAN</v>
      </c>
      <c r="J335" s="2">
        <f>Sheet1!K335</f>
        <v>46227.622046608798</v>
      </c>
      <c r="K335" s="2">
        <f>Sheet1!L335</f>
        <v>46227.631992245399</v>
      </c>
      <c r="L335" t="str">
        <f>Sheet1!M335</f>
        <v>Must Edit Prospect on Confins</v>
      </c>
      <c r="M335" t="str">
        <f>Sheet1!P335</f>
        <v>TOYOTA</v>
      </c>
      <c r="N335" t="str">
        <f>Sheet1!Q335</f>
        <v>2023</v>
      </c>
      <c r="O335">
        <f>Sheet1!AB335</f>
        <v>0</v>
      </c>
      <c r="P335" s="2">
        <f>Sheet1!AD335</f>
        <v>0</v>
      </c>
      <c r="Q335" t="str">
        <f>Sheet1!AI335</f>
        <v>DWI SINTA FEBRIANA-126006</v>
      </c>
      <c r="R335" t="str">
        <f>Sheet1!AJ335</f>
        <v/>
      </c>
      <c r="S335" t="str">
        <f>Sheet1!AK335</f>
        <v>In Proses</v>
      </c>
      <c r="T335" t="str">
        <f>Sheet1!AL335</f>
        <v>SA</v>
      </c>
      <c r="U335">
        <f t="shared" si="5"/>
        <v>0</v>
      </c>
    </row>
    <row r="336" spans="1:21" x14ac:dyDescent="0.25">
      <c r="A336">
        <f>Sheet1!A336</f>
        <v>335</v>
      </c>
      <c r="B336" t="str">
        <f>Sheet1!B336</f>
        <v>MEDAN DUA</v>
      </c>
      <c r="C336" t="str">
        <f>Sheet1!C336</f>
        <v>OPER LUMBAN GAOL</v>
      </c>
      <c r="D336" t="str">
        <f>Sheet1!D336</f>
        <v>ODRNO2607240124</v>
      </c>
      <c r="E336" t="str">
        <f>Sheet1!E336</f>
        <v>839PRS20260700976</v>
      </c>
      <c r="F336" t="str">
        <f>Sheet1!F336</f>
        <v>Sales Agent (SA)</v>
      </c>
      <c r="G336">
        <f>Sheet1!G336</f>
        <v>0</v>
      </c>
      <c r="H336">
        <f>Sheet1!H336</f>
        <v>0</v>
      </c>
      <c r="I336" t="str">
        <f>Sheet1!I336</f>
        <v>WASTO SIHOMBING</v>
      </c>
      <c r="J336" s="2">
        <f>Sheet1!K336</f>
        <v>46227.571537384298</v>
      </c>
      <c r="K336" s="2">
        <f>Sheet1!L336</f>
        <v>46235.333354166702</v>
      </c>
      <c r="L336" t="str">
        <f>Sheet1!M336</f>
        <v>Prospect Cancel</v>
      </c>
      <c r="M336" t="str">
        <f>Sheet1!P336</f>
        <v>HONDA</v>
      </c>
      <c r="N336" t="str">
        <f>Sheet1!Q336</f>
        <v>2023</v>
      </c>
      <c r="O336">
        <f>Sheet1!AB336</f>
        <v>0</v>
      </c>
      <c r="P336" s="2">
        <f>Sheet1!AD336</f>
        <v>0</v>
      </c>
      <c r="Q336" t="str">
        <f>Sheet1!AI336</f>
        <v>HERYANTO NABABAN-126406</v>
      </c>
      <c r="R336" t="str">
        <f>Sheet1!AJ336</f>
        <v/>
      </c>
      <c r="S336" t="str">
        <f>Sheet1!AK336</f>
        <v>Cancel</v>
      </c>
      <c r="T336" t="str">
        <f>Sheet1!AL336</f>
        <v>SA</v>
      </c>
      <c r="U336">
        <f t="shared" si="5"/>
        <v>0</v>
      </c>
    </row>
    <row r="337" spans="1:21" x14ac:dyDescent="0.25">
      <c r="A337">
        <f>Sheet1!A337</f>
        <v>336</v>
      </c>
      <c r="B337" t="str">
        <f>Sheet1!B337</f>
        <v>MEDAN DUA</v>
      </c>
      <c r="C337" t="str">
        <f>Sheet1!C337</f>
        <v>RISMA SITUMORANG</v>
      </c>
      <c r="D337" t="str">
        <f>Sheet1!D337</f>
        <v>ODRNO2607240136</v>
      </c>
      <c r="E337" t="str">
        <f>Sheet1!E337</f>
        <v>839PRS20260700977</v>
      </c>
      <c r="F337" t="str">
        <f>Sheet1!F337</f>
        <v>Sales Agent (SA)</v>
      </c>
      <c r="G337">
        <f>Sheet1!G337</f>
        <v>0</v>
      </c>
      <c r="H337">
        <f>Sheet1!H337</f>
        <v>0</v>
      </c>
      <c r="I337" t="str">
        <f>Sheet1!I337</f>
        <v>WASTO SIHOMBING</v>
      </c>
      <c r="J337" s="2">
        <f>Sheet1!K337</f>
        <v>46227.595636655104</v>
      </c>
      <c r="K337" s="2">
        <f>Sheet1!L337</f>
        <v>46235.333354166702</v>
      </c>
      <c r="L337" t="str">
        <f>Sheet1!M337</f>
        <v>Prospect Cancel</v>
      </c>
      <c r="M337" t="str">
        <f>Sheet1!P337</f>
        <v>HONDA</v>
      </c>
      <c r="N337" t="str">
        <f>Sheet1!Q337</f>
        <v>2023</v>
      </c>
      <c r="O337">
        <f>Sheet1!AB337</f>
        <v>0</v>
      </c>
      <c r="P337" s="2">
        <f>Sheet1!AD337</f>
        <v>0</v>
      </c>
      <c r="Q337" t="str">
        <f>Sheet1!AI337</f>
        <v>HERYANTO NABABAN-126406</v>
      </c>
      <c r="R337" t="str">
        <f>Sheet1!AJ337</f>
        <v/>
      </c>
      <c r="S337" t="str">
        <f>Sheet1!AK337</f>
        <v>Cancel</v>
      </c>
      <c r="T337" t="str">
        <f>Sheet1!AL337</f>
        <v>SA</v>
      </c>
      <c r="U337">
        <f t="shared" si="5"/>
        <v>0</v>
      </c>
    </row>
    <row r="338" spans="1:21" x14ac:dyDescent="0.25">
      <c r="A338">
        <f>Sheet1!A338</f>
        <v>337</v>
      </c>
      <c r="B338" t="str">
        <f>Sheet1!B338</f>
        <v>MEDAN DUA</v>
      </c>
      <c r="C338" t="str">
        <f>Sheet1!C338</f>
        <v>PARLINDUNGAN MARBUN</v>
      </c>
      <c r="D338" t="str">
        <f>Sheet1!D338</f>
        <v>ODRNO2607240196</v>
      </c>
      <c r="E338" t="str">
        <f>Sheet1!E338</f>
        <v>839PRS20260700979</v>
      </c>
      <c r="F338" t="str">
        <f>Sheet1!F338</f>
        <v>Sales Agent (SA)</v>
      </c>
      <c r="G338">
        <f>Sheet1!G338</f>
        <v>0</v>
      </c>
      <c r="H338">
        <f>Sheet1!H338</f>
        <v>0</v>
      </c>
      <c r="I338" t="str">
        <f>Sheet1!I338</f>
        <v>WASTO SIHOMBING</v>
      </c>
      <c r="J338" s="2">
        <f>Sheet1!K338</f>
        <v>46227.808011192101</v>
      </c>
      <c r="K338" s="2">
        <f>Sheet1!L338</f>
        <v>46227.816091631903</v>
      </c>
      <c r="L338" t="str">
        <f>Sheet1!M338</f>
        <v>Prospect Cancel</v>
      </c>
      <c r="M338" t="str">
        <f>Sheet1!P338</f>
        <v>TOYOTA</v>
      </c>
      <c r="N338" t="str">
        <f>Sheet1!Q338</f>
        <v>2021</v>
      </c>
      <c r="O338">
        <f>Sheet1!AB338</f>
        <v>0</v>
      </c>
      <c r="P338" s="2">
        <f>Sheet1!AD338</f>
        <v>0</v>
      </c>
      <c r="Q338" t="str">
        <f>Sheet1!AI338</f>
        <v>ALEXANDER SIREGAR-126373</v>
      </c>
      <c r="R338" t="str">
        <f>Sheet1!AJ338</f>
        <v/>
      </c>
      <c r="S338" t="str">
        <f>Sheet1!AK338</f>
        <v>Cancel</v>
      </c>
      <c r="T338" t="str">
        <f>Sheet1!AL338</f>
        <v>SA</v>
      </c>
      <c r="U338">
        <f t="shared" si="5"/>
        <v>0</v>
      </c>
    </row>
    <row r="339" spans="1:21" x14ac:dyDescent="0.25">
      <c r="A339">
        <f>Sheet1!A339</f>
        <v>338</v>
      </c>
      <c r="B339" t="str">
        <f>Sheet1!B339</f>
        <v>PALEMBANG</v>
      </c>
      <c r="C339" t="str">
        <f>Sheet1!C339</f>
        <v>PRANOTO</v>
      </c>
      <c r="D339" t="str">
        <f>Sheet1!D339</f>
        <v>ODRNO2607240060</v>
      </c>
      <c r="E339" t="str">
        <f>Sheet1!E339</f>
        <v>808PRS20260701939</v>
      </c>
      <c r="F339" t="str">
        <f>Sheet1!F339</f>
        <v>Sales Agent (SA)</v>
      </c>
      <c r="G339">
        <f>Sheet1!G339</f>
        <v>0</v>
      </c>
      <c r="H339" t="str">
        <f>Sheet1!H339</f>
        <v>808APP20260700069</v>
      </c>
      <c r="I339" t="str">
        <f>Sheet1!I339</f>
        <v>FEBI ARISANDI SH</v>
      </c>
      <c r="J339" s="2">
        <f>Sheet1!K339</f>
        <v>46227.441005671302</v>
      </c>
      <c r="K339" s="2">
        <f>Sheet1!L339</f>
        <v>46231.645742905101</v>
      </c>
      <c r="L339" t="str">
        <f>Sheet1!M339</f>
        <v>Return Handling</v>
      </c>
      <c r="M339" t="str">
        <f>Sheet1!P339</f>
        <v>DAIHATSU</v>
      </c>
      <c r="N339" t="str">
        <f>Sheet1!Q339</f>
        <v>2020</v>
      </c>
      <c r="O339">
        <f>Sheet1!AB339</f>
        <v>0</v>
      </c>
      <c r="P339" s="2">
        <f>Sheet1!AD339</f>
        <v>46231</v>
      </c>
      <c r="Q339" t="str">
        <f>Sheet1!AI339</f>
        <v>WINDA ARIYANTI-0726025</v>
      </c>
      <c r="R339" t="str">
        <f>Sheet1!AJ339</f>
        <v/>
      </c>
      <c r="S339" t="str">
        <f>Sheet1!AK339</f>
        <v>In Proses</v>
      </c>
      <c r="T339" t="str">
        <f>Sheet1!AL339</f>
        <v>SA</v>
      </c>
      <c r="U339" t="str">
        <f t="shared" si="5"/>
        <v>Done Survey</v>
      </c>
    </row>
    <row r="340" spans="1:21" x14ac:dyDescent="0.25">
      <c r="A340">
        <f>Sheet1!A340</f>
        <v>339</v>
      </c>
      <c r="B340" t="str">
        <f>Sheet1!B340</f>
        <v>SURABAYA SATU</v>
      </c>
      <c r="C340" t="str">
        <f>Sheet1!C340</f>
        <v xml:space="preserve">laksamana ryon soemitro </v>
      </c>
      <c r="D340" t="str">
        <f>Sheet1!D340</f>
        <v>ODRNO2607240168</v>
      </c>
      <c r="E340" t="str">
        <f>Sheet1!E340</f>
        <v>819PRS20260701057</v>
      </c>
      <c r="F340" t="str">
        <f>Sheet1!F340</f>
        <v>Sales Agent (SA)</v>
      </c>
      <c r="G340">
        <f>Sheet1!G340</f>
        <v>0</v>
      </c>
      <c r="H340">
        <f>Sheet1!H340</f>
        <v>0</v>
      </c>
      <c r="I340" t="str">
        <f>Sheet1!I340</f>
        <v>PONDRA PUJIONO</v>
      </c>
      <c r="J340" s="2">
        <f>Sheet1!K340</f>
        <v>46227.655855173602</v>
      </c>
      <c r="K340" s="2">
        <f>Sheet1!L340</f>
        <v>46227.666791979202</v>
      </c>
      <c r="L340" t="str">
        <f>Sheet1!M340</f>
        <v>Prospect Cancel</v>
      </c>
      <c r="M340" t="str">
        <f>Sheet1!P340</f>
        <v>TOYOTA</v>
      </c>
      <c r="N340" t="str">
        <f>Sheet1!Q340</f>
        <v>2019</v>
      </c>
      <c r="O340">
        <f>Sheet1!AB340</f>
        <v>0</v>
      </c>
      <c r="P340" s="2">
        <f>Sheet1!AD340</f>
        <v>0</v>
      </c>
      <c r="Q340" t="str">
        <f>Sheet1!AI340</f>
        <v>RYAN ADHI TRIATMAJA-126275</v>
      </c>
      <c r="R340" t="str">
        <f>Sheet1!AJ340</f>
        <v/>
      </c>
      <c r="S340" t="str">
        <f>Sheet1!AK340</f>
        <v>Cancel</v>
      </c>
      <c r="T340" t="str">
        <f>Sheet1!AL340</f>
        <v>SA</v>
      </c>
      <c r="U340">
        <f t="shared" si="5"/>
        <v>0</v>
      </c>
    </row>
    <row r="341" spans="1:21" x14ac:dyDescent="0.25">
      <c r="A341">
        <f>Sheet1!A341</f>
        <v>340</v>
      </c>
      <c r="B341" t="str">
        <f>Sheet1!B341</f>
        <v>BANDUNG</v>
      </c>
      <c r="C341" t="str">
        <f>Sheet1!C341</f>
        <v>Sunandar</v>
      </c>
      <c r="D341" t="str">
        <f>Sheet1!D341</f>
        <v>ODRNO2607250022</v>
      </c>
      <c r="E341" t="str">
        <f>Sheet1!E341</f>
        <v>813PRS20260705617</v>
      </c>
      <c r="F341" t="str">
        <f>Sheet1!F341</f>
        <v>Sales Agent (SA)</v>
      </c>
      <c r="G341" t="str">
        <f>Sheet1!G341</f>
        <v>8131022600018</v>
      </c>
      <c r="H341" t="str">
        <f>Sheet1!H341</f>
        <v>813APP20260700134</v>
      </c>
      <c r="I341" t="str">
        <f>Sheet1!I341</f>
        <v>RISKI DALNI</v>
      </c>
      <c r="J341" s="2">
        <f>Sheet1!K341</f>
        <v>46228.329085069403</v>
      </c>
      <c r="K341" s="2">
        <f>Sheet1!L341</f>
        <v>46230.603496955999</v>
      </c>
      <c r="L341" t="str">
        <f>Sheet1!M341</f>
        <v>Go Live</v>
      </c>
      <c r="M341" t="str">
        <f>Sheet1!P341</f>
        <v>SUZUKI</v>
      </c>
      <c r="N341" t="str">
        <f>Sheet1!Q341</f>
        <v>2009</v>
      </c>
      <c r="O341">
        <f>Sheet1!AB341</f>
        <v>49700000</v>
      </c>
      <c r="P341" s="2">
        <f>Sheet1!AD341</f>
        <v>46230</v>
      </c>
      <c r="Q341" t="str">
        <f>Sheet1!AI341</f>
        <v>DWI HARTO-226039</v>
      </c>
      <c r="R341" t="str">
        <f>Sheet1!AJ341</f>
        <v/>
      </c>
      <c r="S341" t="str">
        <f>Sheet1!AK341</f>
        <v>Golive</v>
      </c>
      <c r="T341" t="str">
        <f>Sheet1!AL341</f>
        <v>SA</v>
      </c>
      <c r="U341" t="str">
        <f t="shared" si="5"/>
        <v>Done Survey</v>
      </c>
    </row>
    <row r="342" spans="1:21" x14ac:dyDescent="0.25">
      <c r="A342">
        <f>Sheet1!A342</f>
        <v>341</v>
      </c>
      <c r="B342" t="str">
        <f>Sheet1!B342</f>
        <v>BOGOR</v>
      </c>
      <c r="C342" t="str">
        <f>Sheet1!C342</f>
        <v>TRI YOGATAMA</v>
      </c>
      <c r="D342" t="str">
        <f>Sheet1!D342</f>
        <v>ODRNO2607250144</v>
      </c>
      <c r="E342" t="str">
        <f>Sheet1!E342</f>
        <v>812PRS20260701437</v>
      </c>
      <c r="F342" t="str">
        <f>Sheet1!F342</f>
        <v>Telemarketing Program</v>
      </c>
      <c r="G342">
        <f>Sheet1!G342</f>
        <v>0</v>
      </c>
      <c r="H342">
        <f>Sheet1!H342</f>
        <v>0</v>
      </c>
      <c r="I342" t="str">
        <f>Sheet1!I342</f>
        <v>EKA SUNARYO</v>
      </c>
      <c r="J342" s="2">
        <f>Sheet1!K342</f>
        <v>46228.632603669001</v>
      </c>
      <c r="K342" s="2">
        <f>Sheet1!L342</f>
        <v>46228.649385069402</v>
      </c>
      <c r="L342" t="str">
        <f>Sheet1!M342</f>
        <v>Prospect Cancel</v>
      </c>
      <c r="M342" t="str">
        <f>Sheet1!P342</f>
        <v>SUZUKI</v>
      </c>
      <c r="N342" t="str">
        <f>Sheet1!Q342</f>
        <v>2018</v>
      </c>
      <c r="O342">
        <f>Sheet1!AB342</f>
        <v>0</v>
      </c>
      <c r="P342" s="2">
        <f>Sheet1!AD342</f>
        <v>0</v>
      </c>
      <c r="Q342">
        <f>Sheet1!AI342</f>
        <v>0</v>
      </c>
      <c r="R342">
        <f>Sheet1!AJ342</f>
        <v>0</v>
      </c>
      <c r="S342" t="str">
        <f>Sheet1!AK342</f>
        <v>Cancel</v>
      </c>
      <c r="T342" t="str">
        <f>Sheet1!AL342</f>
        <v>Tele</v>
      </c>
      <c r="U342">
        <f t="shared" si="5"/>
        <v>0</v>
      </c>
    </row>
    <row r="343" spans="1:21" x14ac:dyDescent="0.25">
      <c r="A343">
        <f>Sheet1!A343</f>
        <v>342</v>
      </c>
      <c r="B343" t="str">
        <f>Sheet1!B343</f>
        <v>FATMAWATI</v>
      </c>
      <c r="C343" t="str">
        <f>Sheet1!C343</f>
        <v>MUHAMMAD FAHMI</v>
      </c>
      <c r="D343" t="str">
        <f>Sheet1!D343</f>
        <v>ODRNO2607250062</v>
      </c>
      <c r="E343" t="str">
        <f>Sheet1!E343</f>
        <v>802PRS20260702439</v>
      </c>
      <c r="F343" t="str">
        <f>Sheet1!F343</f>
        <v>Sales Agent (SA)</v>
      </c>
      <c r="G343">
        <f>Sheet1!G343</f>
        <v>0</v>
      </c>
      <c r="H343">
        <f>Sheet1!H343</f>
        <v>0</v>
      </c>
      <c r="I343" t="str">
        <f>Sheet1!I343</f>
        <v>RIZQI APRIANSYAH</v>
      </c>
      <c r="J343" s="2">
        <f>Sheet1!K343</f>
        <v>46228.430794525499</v>
      </c>
      <c r="K343" s="2">
        <f>Sheet1!L343</f>
        <v>46228.4445172454</v>
      </c>
      <c r="L343" t="str">
        <f>Sheet1!M343</f>
        <v>Prospect Cancel</v>
      </c>
      <c r="M343" t="str">
        <f>Sheet1!P343</f>
        <v>BYD</v>
      </c>
      <c r="N343" t="str">
        <f>Sheet1!Q343</f>
        <v>2025</v>
      </c>
      <c r="O343">
        <f>Sheet1!AB343</f>
        <v>0</v>
      </c>
      <c r="P343" s="2">
        <f>Sheet1!AD343</f>
        <v>0</v>
      </c>
      <c r="Q343" t="str">
        <f>Sheet1!AI343</f>
        <v>EKO SULISTYO UTOMO-0726087</v>
      </c>
      <c r="R343" t="str">
        <f>Sheet1!AJ343</f>
        <v/>
      </c>
      <c r="S343" t="str">
        <f>Sheet1!AK343</f>
        <v>Cancel</v>
      </c>
      <c r="T343" t="str">
        <f>Sheet1!AL343</f>
        <v>SA</v>
      </c>
      <c r="U343">
        <f t="shared" si="5"/>
        <v>0</v>
      </c>
    </row>
    <row r="344" spans="1:21" x14ac:dyDescent="0.25">
      <c r="A344">
        <f>Sheet1!A344</f>
        <v>343</v>
      </c>
      <c r="B344" t="str">
        <f>Sheet1!B344</f>
        <v>FATMAWATI</v>
      </c>
      <c r="C344" t="str">
        <f>Sheet1!C344</f>
        <v>SARI NENTI</v>
      </c>
      <c r="D344" t="str">
        <f>Sheet1!D344</f>
        <v>ODRNO2607250150</v>
      </c>
      <c r="E344" t="str">
        <f>Sheet1!E344</f>
        <v>802PRS20260702445</v>
      </c>
      <c r="F344" t="str">
        <f>Sheet1!F344</f>
        <v>Sales Agent (SA)</v>
      </c>
      <c r="G344">
        <f>Sheet1!G344</f>
        <v>0</v>
      </c>
      <c r="H344">
        <f>Sheet1!H344</f>
        <v>0</v>
      </c>
      <c r="I344" t="str">
        <f>Sheet1!I344</f>
        <v>RIZQI APRIANSYAH</v>
      </c>
      <c r="J344" s="2">
        <f>Sheet1!K344</f>
        <v>46228.659232407401</v>
      </c>
      <c r="K344" s="2">
        <f>Sheet1!L344</f>
        <v>46236.333348113403</v>
      </c>
      <c r="L344" t="str">
        <f>Sheet1!M344</f>
        <v>Prospect Cancel</v>
      </c>
      <c r="M344" t="str">
        <f>Sheet1!P344</f>
        <v>DAIHATSU</v>
      </c>
      <c r="N344" t="str">
        <f>Sheet1!Q344</f>
        <v>2022</v>
      </c>
      <c r="O344">
        <f>Sheet1!AB344</f>
        <v>0</v>
      </c>
      <c r="P344" s="2">
        <f>Sheet1!AD344</f>
        <v>0</v>
      </c>
      <c r="Q344" t="str">
        <f>Sheet1!AI344</f>
        <v>KRISTINA-0726072</v>
      </c>
      <c r="R344" t="str">
        <f>Sheet1!AJ344</f>
        <v/>
      </c>
      <c r="S344" t="str">
        <f>Sheet1!AK344</f>
        <v>Cancel</v>
      </c>
      <c r="T344" t="str">
        <f>Sheet1!AL344</f>
        <v>SA</v>
      </c>
      <c r="U344">
        <f t="shared" si="5"/>
        <v>0</v>
      </c>
    </row>
    <row r="345" spans="1:21" x14ac:dyDescent="0.25">
      <c r="A345">
        <f>Sheet1!A345</f>
        <v>344</v>
      </c>
      <c r="B345" t="str">
        <f>Sheet1!B345</f>
        <v>MEDAN DUA</v>
      </c>
      <c r="C345" t="str">
        <f>Sheet1!C345</f>
        <v>EDDY AHMAD</v>
      </c>
      <c r="D345" t="str">
        <f>Sheet1!D345</f>
        <v>ODRNO2607250080</v>
      </c>
      <c r="E345" t="str">
        <f>Sheet1!E345</f>
        <v>839PRS20260700980</v>
      </c>
      <c r="F345" t="str">
        <f>Sheet1!F345</f>
        <v>Sales Agent (SA)</v>
      </c>
      <c r="G345">
        <f>Sheet1!G345</f>
        <v>0</v>
      </c>
      <c r="H345">
        <f>Sheet1!H345</f>
        <v>0</v>
      </c>
      <c r="I345" t="str">
        <f>Sheet1!I345</f>
        <v>WASTO SIHOMBING</v>
      </c>
      <c r="J345" s="2">
        <f>Sheet1!K345</f>
        <v>46228.459658101798</v>
      </c>
      <c r="K345" s="2">
        <f>Sheet1!L345</f>
        <v>46228.4768162037</v>
      </c>
      <c r="L345" t="str">
        <f>Sheet1!M345</f>
        <v>Must Edit Prospect on Confins</v>
      </c>
      <c r="M345" t="str">
        <f>Sheet1!P345</f>
        <v>HONDA</v>
      </c>
      <c r="N345" t="str">
        <f>Sheet1!Q345</f>
        <v>2019</v>
      </c>
      <c r="O345">
        <f>Sheet1!AB345</f>
        <v>0</v>
      </c>
      <c r="P345" s="2">
        <f>Sheet1!AD345</f>
        <v>0</v>
      </c>
      <c r="Q345" t="str">
        <f>Sheet1!AI345</f>
        <v>ALEXANDER SIREGAR-126373</v>
      </c>
      <c r="R345" t="str">
        <f>Sheet1!AJ345</f>
        <v/>
      </c>
      <c r="S345" t="str">
        <f>Sheet1!AK345</f>
        <v>In Proses</v>
      </c>
      <c r="T345" t="str">
        <f>Sheet1!AL345</f>
        <v>SA</v>
      </c>
      <c r="U345">
        <f t="shared" si="5"/>
        <v>0</v>
      </c>
    </row>
    <row r="346" spans="1:21" x14ac:dyDescent="0.25">
      <c r="A346">
        <f>Sheet1!A346</f>
        <v>345</v>
      </c>
      <c r="B346" t="str">
        <f>Sheet1!B346</f>
        <v>PEKANBARU</v>
      </c>
      <c r="C346" t="str">
        <f>Sheet1!C346</f>
        <v>JONATAN MIENROAD RUMAHORBO</v>
      </c>
      <c r="D346" t="str">
        <f>Sheet1!D346</f>
        <v>ODRNO2607250069</v>
      </c>
      <c r="E346" t="str">
        <f>Sheet1!E346</f>
        <v>805PRS20260702813</v>
      </c>
      <c r="F346" t="str">
        <f>Sheet1!F346</f>
        <v>Sales Agent (SA)</v>
      </c>
      <c r="G346">
        <f>Sheet1!G346</f>
        <v>0</v>
      </c>
      <c r="H346">
        <f>Sheet1!H346</f>
        <v>0</v>
      </c>
      <c r="I346" t="str">
        <f>Sheet1!I346</f>
        <v>MUHAMMAD RIDWAN</v>
      </c>
      <c r="J346" s="2">
        <f>Sheet1!K346</f>
        <v>46228.4441623495</v>
      </c>
      <c r="K346" s="2">
        <f>Sheet1!L346</f>
        <v>46236.333348113403</v>
      </c>
      <c r="L346" t="str">
        <f>Sheet1!M346</f>
        <v>Prospect Cancel</v>
      </c>
      <c r="M346" t="str">
        <f>Sheet1!P346</f>
        <v>TOYOTA</v>
      </c>
      <c r="N346" t="str">
        <f>Sheet1!Q346</f>
        <v>2016</v>
      </c>
      <c r="O346">
        <f>Sheet1!AB346</f>
        <v>0</v>
      </c>
      <c r="P346" s="2">
        <f>Sheet1!AD346</f>
        <v>0</v>
      </c>
      <c r="Q346" t="str">
        <f>Sheet1!AI346</f>
        <v>FARUQ HUSNI-126107</v>
      </c>
      <c r="R346" t="str">
        <f>Sheet1!AJ346</f>
        <v/>
      </c>
      <c r="S346" t="str">
        <f>Sheet1!AK346</f>
        <v>Cancel</v>
      </c>
      <c r="T346" t="str">
        <f>Sheet1!AL346</f>
        <v>SA</v>
      </c>
      <c r="U346">
        <f t="shared" si="5"/>
        <v>0</v>
      </c>
    </row>
    <row r="347" spans="1:21" x14ac:dyDescent="0.25">
      <c r="A347">
        <f>Sheet1!A347</f>
        <v>346</v>
      </c>
      <c r="B347" t="str">
        <f>Sheet1!B347</f>
        <v>PEKANBARU</v>
      </c>
      <c r="C347" t="str">
        <f>Sheet1!C347</f>
        <v>LAMHOT LUMBAN GAOL</v>
      </c>
      <c r="D347" t="str">
        <f>Sheet1!D347</f>
        <v>ODRNO2607250090</v>
      </c>
      <c r="E347" t="str">
        <f>Sheet1!E347</f>
        <v>805PRS20260702815</v>
      </c>
      <c r="F347" t="str">
        <f>Sheet1!F347</f>
        <v>Sales Agent (SA)</v>
      </c>
      <c r="G347" t="str">
        <f>Sheet1!G347</f>
        <v>8051032600019</v>
      </c>
      <c r="H347" t="str">
        <f>Sheet1!H347</f>
        <v>805APP20260700091</v>
      </c>
      <c r="I347" t="str">
        <f>Sheet1!I347</f>
        <v>MUHAMMAD RIDWAN</v>
      </c>
      <c r="J347" s="2">
        <f>Sheet1!K347</f>
        <v>46228.483656400502</v>
      </c>
      <c r="K347" s="2">
        <f>Sheet1!L347</f>
        <v>46231.567525428203</v>
      </c>
      <c r="L347" t="str">
        <f>Sheet1!M347</f>
        <v>Go Live</v>
      </c>
      <c r="M347" t="str">
        <f>Sheet1!P347</f>
        <v>MITSUBISHI</v>
      </c>
      <c r="N347" t="str">
        <f>Sheet1!Q347</f>
        <v>2015</v>
      </c>
      <c r="O347">
        <f>Sheet1!AB347</f>
        <v>92143000</v>
      </c>
      <c r="P347" s="2">
        <f>Sheet1!AD347</f>
        <v>46231</v>
      </c>
      <c r="Q347" t="str">
        <f>Sheet1!AI347</f>
        <v>DODI DWI FIRMA SUSETYO-0726065</v>
      </c>
      <c r="R347" t="str">
        <f>Sheet1!AJ347</f>
        <v/>
      </c>
      <c r="S347" t="str">
        <f>Sheet1!AK347</f>
        <v>Golive</v>
      </c>
      <c r="T347" t="str">
        <f>Sheet1!AL347</f>
        <v>SA</v>
      </c>
      <c r="U347" t="str">
        <f t="shared" si="5"/>
        <v>Done Survey</v>
      </c>
    </row>
    <row r="348" spans="1:21" x14ac:dyDescent="0.25">
      <c r="A348">
        <f>Sheet1!A348</f>
        <v>347</v>
      </c>
      <c r="B348" t="str">
        <f>Sheet1!B348</f>
        <v>BATAM</v>
      </c>
      <c r="C348" t="str">
        <f>Sheet1!C348</f>
        <v>yeni setia wati</v>
      </c>
      <c r="D348" t="str">
        <f>Sheet1!D348</f>
        <v>ODRNO2607260015</v>
      </c>
      <c r="E348" t="str">
        <f>Sheet1!E348</f>
        <v>806PRS20260702283</v>
      </c>
      <c r="F348" t="str">
        <f>Sheet1!F348</f>
        <v>Sales Agent (SA)</v>
      </c>
      <c r="G348">
        <f>Sheet1!G348</f>
        <v>0</v>
      </c>
      <c r="H348">
        <f>Sheet1!H348</f>
        <v>0</v>
      </c>
      <c r="I348" t="str">
        <f>Sheet1!I348</f>
        <v>WELLY PRIMA SANDI</v>
      </c>
      <c r="J348" s="2">
        <f>Sheet1!K348</f>
        <v>46229.399197835701</v>
      </c>
      <c r="K348" s="2">
        <f>Sheet1!L348</f>
        <v>46237.333353668997</v>
      </c>
      <c r="L348" t="str">
        <f>Sheet1!M348</f>
        <v>Prospect Cancel</v>
      </c>
      <c r="M348" t="str">
        <f>Sheet1!P348</f>
        <v>DAIHATSU</v>
      </c>
      <c r="N348" t="str">
        <f>Sheet1!Q348</f>
        <v>2022</v>
      </c>
      <c r="O348">
        <f>Sheet1!AB348</f>
        <v>0</v>
      </c>
      <c r="P348" s="2">
        <f>Sheet1!AD348</f>
        <v>0</v>
      </c>
      <c r="Q348" t="str">
        <f>Sheet1!AI348</f>
        <v>PRAMA OVRI ANDI SAPUTRA-0726059</v>
      </c>
      <c r="R348" t="str">
        <f>Sheet1!AJ348</f>
        <v/>
      </c>
      <c r="S348" t="str">
        <f>Sheet1!AK348</f>
        <v>Cancel</v>
      </c>
      <c r="T348" t="str">
        <f>Sheet1!AL348</f>
        <v>SA</v>
      </c>
      <c r="U348">
        <f t="shared" si="5"/>
        <v>0</v>
      </c>
    </row>
    <row r="349" spans="1:21" x14ac:dyDescent="0.25">
      <c r="A349">
        <f>Sheet1!A349</f>
        <v>348</v>
      </c>
      <c r="B349" t="str">
        <f>Sheet1!B349</f>
        <v>BATAM</v>
      </c>
      <c r="C349" t="str">
        <f>Sheet1!C349</f>
        <v>romyadi</v>
      </c>
      <c r="D349" t="str">
        <f>Sheet1!D349</f>
        <v>ODRNO2607260054</v>
      </c>
      <c r="E349" t="str">
        <f>Sheet1!E349</f>
        <v>806PRS20260702286</v>
      </c>
      <c r="F349" t="str">
        <f>Sheet1!F349</f>
        <v>Sales Agent (SA)</v>
      </c>
      <c r="G349">
        <f>Sheet1!G349</f>
        <v>0</v>
      </c>
      <c r="H349">
        <f>Sheet1!H349</f>
        <v>0</v>
      </c>
      <c r="I349" t="str">
        <f>Sheet1!I349</f>
        <v>WELLY PRIMA SANDI</v>
      </c>
      <c r="J349" s="2">
        <f>Sheet1!K349</f>
        <v>46229.584510844899</v>
      </c>
      <c r="K349" s="2">
        <f>Sheet1!L349</f>
        <v>46229.590429513897</v>
      </c>
      <c r="L349" t="str">
        <f>Sheet1!M349</f>
        <v>Assignment Survey 1</v>
      </c>
      <c r="M349" t="str">
        <f>Sheet1!P349</f>
        <v>LEXUS</v>
      </c>
      <c r="N349" t="str">
        <f>Sheet1!Q349</f>
        <v>2023</v>
      </c>
      <c r="O349">
        <f>Sheet1!AB349</f>
        <v>0</v>
      </c>
      <c r="P349" s="2">
        <f>Sheet1!AD349</f>
        <v>0</v>
      </c>
      <c r="Q349" t="str">
        <f>Sheet1!AI349</f>
        <v>PRAMA OVRI ANDI SAPUTRA-0726059</v>
      </c>
      <c r="R349" t="str">
        <f>Sheet1!AJ349</f>
        <v/>
      </c>
      <c r="S349" t="str">
        <f>Sheet1!AK349</f>
        <v>In Proses</v>
      </c>
      <c r="T349" t="str">
        <f>Sheet1!AL349</f>
        <v>SA</v>
      </c>
      <c r="U349">
        <f t="shared" si="5"/>
        <v>0</v>
      </c>
    </row>
    <row r="350" spans="1:21" x14ac:dyDescent="0.25">
      <c r="A350">
        <f>Sheet1!A350</f>
        <v>349</v>
      </c>
      <c r="B350" t="str">
        <f>Sheet1!B350</f>
        <v>BOGOR</v>
      </c>
      <c r="C350" t="str">
        <f>Sheet1!C350</f>
        <v>NOVITA SIMANJUNTAK</v>
      </c>
      <c r="D350" t="str">
        <f>Sheet1!D350</f>
        <v>ODRNO2607260024</v>
      </c>
      <c r="E350" t="str">
        <f>Sheet1!E350</f>
        <v>812PRS20260701441</v>
      </c>
      <c r="F350" t="str">
        <f>Sheet1!F350</f>
        <v>Telemarketing Program</v>
      </c>
      <c r="G350" t="str">
        <f>Sheet1!G350</f>
        <v>8121022600025</v>
      </c>
      <c r="H350" t="str">
        <f>Sheet1!H350</f>
        <v>812APP20260700043</v>
      </c>
      <c r="I350" t="str">
        <f>Sheet1!I350</f>
        <v>EKA SUNARYO</v>
      </c>
      <c r="J350" s="2">
        <f>Sheet1!K350</f>
        <v>46229.437587349501</v>
      </c>
      <c r="K350" s="2">
        <f>Sheet1!L350</f>
        <v>46232.670432407402</v>
      </c>
      <c r="L350" t="str">
        <f>Sheet1!M350</f>
        <v>Go Live</v>
      </c>
      <c r="M350" t="str">
        <f>Sheet1!P350</f>
        <v>SUZUKI</v>
      </c>
      <c r="N350" t="str">
        <f>Sheet1!Q350</f>
        <v>2018</v>
      </c>
      <c r="O350">
        <f>Sheet1!AB350</f>
        <v>83812000</v>
      </c>
      <c r="P350" s="2">
        <f>Sheet1!AD350</f>
        <v>46231</v>
      </c>
      <c r="Q350">
        <f>Sheet1!AI350</f>
        <v>0</v>
      </c>
      <c r="R350">
        <f>Sheet1!AJ350</f>
        <v>0</v>
      </c>
      <c r="S350" t="str">
        <f>Sheet1!AK350</f>
        <v>Golive</v>
      </c>
      <c r="T350" t="str">
        <f>Sheet1!AL350</f>
        <v>Tele</v>
      </c>
      <c r="U350" t="str">
        <f t="shared" si="5"/>
        <v>Done Survey</v>
      </c>
    </row>
    <row r="351" spans="1:21" x14ac:dyDescent="0.25">
      <c r="A351">
        <f>Sheet1!A351</f>
        <v>350</v>
      </c>
      <c r="B351" t="str">
        <f>Sheet1!B351</f>
        <v>ALAM SUTERA</v>
      </c>
      <c r="C351" t="str">
        <f>Sheet1!C351</f>
        <v>SAMSI</v>
      </c>
      <c r="D351" t="str">
        <f>Sheet1!D351</f>
        <v>ODRNO2607270125</v>
      </c>
      <c r="E351" t="str">
        <f>Sheet1!E351</f>
        <v>838PRS20260702693</v>
      </c>
      <c r="F351" t="str">
        <f>Sheet1!F351</f>
        <v>Sales Agent (SA)</v>
      </c>
      <c r="G351">
        <f>Sheet1!G351</f>
        <v>0</v>
      </c>
      <c r="H351">
        <f>Sheet1!H351</f>
        <v>0</v>
      </c>
      <c r="I351" t="str">
        <f>Sheet1!I351</f>
        <v>IBRAHIM AZIZ</v>
      </c>
      <c r="J351" s="2">
        <f>Sheet1!K351</f>
        <v>46230.460770173602</v>
      </c>
      <c r="K351" s="2">
        <f>Sheet1!L351</f>
        <v>46231.762689155097</v>
      </c>
      <c r="L351" t="str">
        <f>Sheet1!M351</f>
        <v>Assignment Survey 1</v>
      </c>
      <c r="M351" t="str">
        <f>Sheet1!P351</f>
        <v>TOYOTA</v>
      </c>
      <c r="N351" t="str">
        <f>Sheet1!Q351</f>
        <v>2022</v>
      </c>
      <c r="O351">
        <f>Sheet1!AB351</f>
        <v>0</v>
      </c>
      <c r="P351" s="2">
        <f>Sheet1!AD351</f>
        <v>0</v>
      </c>
      <c r="Q351" t="str">
        <f>Sheet1!AI351</f>
        <v>APRILLIA ANGGRAENI-126005</v>
      </c>
      <c r="R351" t="str">
        <f>Sheet1!AJ351</f>
        <v/>
      </c>
      <c r="S351" t="str">
        <f>Sheet1!AK351</f>
        <v>In Proses</v>
      </c>
      <c r="T351" t="str">
        <f>Sheet1!AL351</f>
        <v>SA</v>
      </c>
      <c r="U351">
        <f t="shared" si="5"/>
        <v>0</v>
      </c>
    </row>
    <row r="352" spans="1:21" x14ac:dyDescent="0.25">
      <c r="A352">
        <f>Sheet1!A352</f>
        <v>351</v>
      </c>
      <c r="B352" t="str">
        <f>Sheet1!B352</f>
        <v>ALAM SUTERA</v>
      </c>
      <c r="C352" t="str">
        <f>Sheet1!C352</f>
        <v>MARSINAH</v>
      </c>
      <c r="D352" t="str">
        <f>Sheet1!D352</f>
        <v>ODRNO2607270235</v>
      </c>
      <c r="E352" t="str">
        <f>Sheet1!E352</f>
        <v>838PRS20260702702</v>
      </c>
      <c r="F352" t="str">
        <f>Sheet1!F352</f>
        <v>Telemarketing Program</v>
      </c>
      <c r="G352">
        <f>Sheet1!G352</f>
        <v>0</v>
      </c>
      <c r="H352" t="str">
        <f>Sheet1!H352</f>
        <v>838APP20260700083</v>
      </c>
      <c r="I352" t="str">
        <f>Sheet1!I352</f>
        <v>IBRAHIM AZIZ</v>
      </c>
      <c r="J352" s="2">
        <f>Sheet1!K352</f>
        <v>46230.638949108798</v>
      </c>
      <c r="K352" s="2">
        <f>Sheet1!L352</f>
        <v>46233.615951006897</v>
      </c>
      <c r="L352" t="str">
        <f>Sheet1!M352</f>
        <v>New NAP</v>
      </c>
      <c r="M352" t="str">
        <f>Sheet1!P352</f>
        <v>HONDA</v>
      </c>
      <c r="N352" t="str">
        <f>Sheet1!Q352</f>
        <v>2015</v>
      </c>
      <c r="O352">
        <f>Sheet1!AB352</f>
        <v>0</v>
      </c>
      <c r="P352" s="2">
        <f>Sheet1!AD352</f>
        <v>46232</v>
      </c>
      <c r="Q352">
        <f>Sheet1!AI352</f>
        <v>0</v>
      </c>
      <c r="R352">
        <f>Sheet1!AJ352</f>
        <v>0</v>
      </c>
      <c r="S352" t="str">
        <f>Sheet1!AK352</f>
        <v>Backlog</v>
      </c>
      <c r="T352" t="str">
        <f>Sheet1!AL352</f>
        <v>Tele</v>
      </c>
      <c r="U352" t="str">
        <f t="shared" si="5"/>
        <v>Done Survey</v>
      </c>
    </row>
    <row r="353" spans="1:21" x14ac:dyDescent="0.25">
      <c r="A353">
        <f>Sheet1!A353</f>
        <v>352</v>
      </c>
      <c r="B353" t="str">
        <f>Sheet1!B353</f>
        <v>BANDUNG</v>
      </c>
      <c r="C353" t="str">
        <f>Sheet1!C353</f>
        <v>RIZKI WAHYUDI</v>
      </c>
      <c r="D353" t="str">
        <f>Sheet1!D353</f>
        <v>ODRNO2607270256</v>
      </c>
      <c r="E353" t="str">
        <f>Sheet1!E353</f>
        <v>813PRS20260705679</v>
      </c>
      <c r="F353" t="str">
        <f>Sheet1!F353</f>
        <v>Sales Agent (SA)</v>
      </c>
      <c r="G353">
        <f>Sheet1!G353</f>
        <v>0</v>
      </c>
      <c r="H353">
        <f>Sheet1!H353</f>
        <v>0</v>
      </c>
      <c r="I353" t="str">
        <f>Sheet1!I353</f>
        <v>RAMDHAN FIRMANSYAH</v>
      </c>
      <c r="J353" s="2">
        <f>Sheet1!K353</f>
        <v>46230.678984455997</v>
      </c>
      <c r="K353" s="2">
        <f>Sheet1!L353</f>
        <v>46230.688151041701</v>
      </c>
      <c r="L353" t="str">
        <f>Sheet1!M353</f>
        <v>Drop Data by CA</v>
      </c>
      <c r="M353" t="str">
        <f>Sheet1!P353</f>
        <v>DAIHATSU</v>
      </c>
      <c r="N353" t="str">
        <f>Sheet1!Q353</f>
        <v>2016</v>
      </c>
      <c r="O353">
        <f>Sheet1!AB353</f>
        <v>0</v>
      </c>
      <c r="P353" s="2">
        <f>Sheet1!AD353</f>
        <v>0</v>
      </c>
      <c r="Q353" t="str">
        <f>Sheet1!AI353</f>
        <v>AGUNG WIBOWO-226216</v>
      </c>
      <c r="R353" t="str">
        <f>Sheet1!AJ353</f>
        <v/>
      </c>
      <c r="S353" t="str">
        <f>Sheet1!AK353</f>
        <v>Reject</v>
      </c>
      <c r="T353" t="str">
        <f>Sheet1!AL353</f>
        <v>SA</v>
      </c>
      <c r="U353">
        <f t="shared" si="5"/>
        <v>0</v>
      </c>
    </row>
    <row r="354" spans="1:21" x14ac:dyDescent="0.25">
      <c r="A354">
        <f>Sheet1!A354</f>
        <v>353</v>
      </c>
      <c r="B354" t="str">
        <f>Sheet1!B354</f>
        <v>BANDUNG</v>
      </c>
      <c r="C354" t="str">
        <f>Sheet1!C354</f>
        <v>Adam Purwana</v>
      </c>
      <c r="D354" t="str">
        <f>Sheet1!D354</f>
        <v>ODRNO2607270267</v>
      </c>
      <c r="E354" t="str">
        <f>Sheet1!E354</f>
        <v>813PRS20260705681</v>
      </c>
      <c r="F354" t="str">
        <f>Sheet1!F354</f>
        <v>Sales Agent (SA)</v>
      </c>
      <c r="G354">
        <f>Sheet1!G354</f>
        <v>0</v>
      </c>
      <c r="H354">
        <f>Sheet1!H354</f>
        <v>0</v>
      </c>
      <c r="I354" t="str">
        <f>Sheet1!I354</f>
        <v>RISKI DALNI</v>
      </c>
      <c r="J354" s="2">
        <f>Sheet1!K354</f>
        <v>46230.718124618099</v>
      </c>
      <c r="K354" s="2">
        <f>Sheet1!L354</f>
        <v>46230.722303703697</v>
      </c>
      <c r="L354" t="str">
        <f>Sheet1!M354</f>
        <v>Drop Data by CA</v>
      </c>
      <c r="M354" t="str">
        <f>Sheet1!P354</f>
        <v>DAIHATSU</v>
      </c>
      <c r="N354" t="str">
        <f>Sheet1!Q354</f>
        <v>2020</v>
      </c>
      <c r="O354">
        <f>Sheet1!AB354</f>
        <v>0</v>
      </c>
      <c r="P354" s="2">
        <f>Sheet1!AD354</f>
        <v>0</v>
      </c>
      <c r="Q354" t="str">
        <f>Sheet1!AI354</f>
        <v>HANAN MULYANA-0626048</v>
      </c>
      <c r="R354" t="str">
        <f>Sheet1!AJ354</f>
        <v/>
      </c>
      <c r="S354" t="str">
        <f>Sheet1!AK354</f>
        <v>Reject</v>
      </c>
      <c r="T354" t="str">
        <f>Sheet1!AL354</f>
        <v>SA</v>
      </c>
      <c r="U354">
        <f t="shared" si="5"/>
        <v>0</v>
      </c>
    </row>
    <row r="355" spans="1:21" x14ac:dyDescent="0.25">
      <c r="A355">
        <f>Sheet1!A355</f>
        <v>354</v>
      </c>
      <c r="B355" t="str">
        <f>Sheet1!B355</f>
        <v>BATAM</v>
      </c>
      <c r="C355" t="str">
        <f>Sheet1!C355</f>
        <v>KURNIATI</v>
      </c>
      <c r="D355" t="str">
        <f>Sheet1!D355</f>
        <v>ODRNO2607270122</v>
      </c>
      <c r="E355" t="str">
        <f>Sheet1!E355</f>
        <v>806PRS20260702298</v>
      </c>
      <c r="F355" t="str">
        <f>Sheet1!F355</f>
        <v>LandingPage</v>
      </c>
      <c r="G355">
        <f>Sheet1!G355</f>
        <v>0</v>
      </c>
      <c r="H355">
        <f>Sheet1!H355</f>
        <v>0</v>
      </c>
      <c r="I355" t="str">
        <f>Sheet1!I355</f>
        <v>PRAMA OVRIANDI SAPUTRA</v>
      </c>
      <c r="J355" s="2">
        <f>Sheet1!K355</f>
        <v>46230.458087812498</v>
      </c>
      <c r="K355" s="2">
        <f>Sheet1!L355</f>
        <v>46230.4627223727</v>
      </c>
      <c r="L355" t="str">
        <f>Sheet1!M355</f>
        <v>Drop Data by CA</v>
      </c>
      <c r="M355" t="str">
        <f>Sheet1!P355</f>
        <v>TOYOTA</v>
      </c>
      <c r="N355" t="str">
        <f>Sheet1!Q355</f>
        <v>2017</v>
      </c>
      <c r="O355">
        <f>Sheet1!AB355</f>
        <v>0</v>
      </c>
      <c r="P355" s="2">
        <f>Sheet1!AD355</f>
        <v>0</v>
      </c>
      <c r="Q355">
        <f>Sheet1!AI355</f>
        <v>0</v>
      </c>
      <c r="R355">
        <f>Sheet1!AJ355</f>
        <v>0</v>
      </c>
      <c r="S355" t="str">
        <f>Sheet1!AK355</f>
        <v>Reject</v>
      </c>
      <c r="T355" t="str">
        <f>Sheet1!AL355</f>
        <v>SA</v>
      </c>
      <c r="U355">
        <f t="shared" si="5"/>
        <v>0</v>
      </c>
    </row>
    <row r="356" spans="1:21" x14ac:dyDescent="0.25">
      <c r="A356">
        <f>Sheet1!A356</f>
        <v>355</v>
      </c>
      <c r="B356" t="str">
        <f>Sheet1!B356</f>
        <v>BATAM</v>
      </c>
      <c r="C356" t="str">
        <f>Sheet1!C356</f>
        <v>desra eka fitri</v>
      </c>
      <c r="D356" t="str">
        <f>Sheet1!D356</f>
        <v>ODRNO2607270128</v>
      </c>
      <c r="E356" t="str">
        <f>Sheet1!E356</f>
        <v>806PRS20260702299</v>
      </c>
      <c r="F356" t="str">
        <f>Sheet1!F356</f>
        <v>Sales Agent (SA)</v>
      </c>
      <c r="G356">
        <f>Sheet1!G356</f>
        <v>0</v>
      </c>
      <c r="H356" t="str">
        <f>Sheet1!H356</f>
        <v>806APP20260700076</v>
      </c>
      <c r="I356" t="str">
        <f>Sheet1!I356</f>
        <v>WELLY PRIMA SANDI</v>
      </c>
      <c r="J356" s="2">
        <f>Sheet1!K356</f>
        <v>46230.462038576399</v>
      </c>
      <c r="K356" s="2">
        <f>Sheet1!L356</f>
        <v>46232.765025659697</v>
      </c>
      <c r="L356" t="str">
        <f>Sheet1!M356</f>
        <v>Return Handling</v>
      </c>
      <c r="M356" t="str">
        <f>Sheet1!P356</f>
        <v>HONDA</v>
      </c>
      <c r="N356" t="str">
        <f>Sheet1!Q356</f>
        <v>2024</v>
      </c>
      <c r="O356">
        <f>Sheet1!AB356</f>
        <v>0</v>
      </c>
      <c r="P356" s="2">
        <f>Sheet1!AD356</f>
        <v>46231</v>
      </c>
      <c r="Q356" t="str">
        <f>Sheet1!AI356</f>
        <v>PRAMA OVRI ANDI SAPUTRA-0726059</v>
      </c>
      <c r="R356" t="str">
        <f>Sheet1!AJ356</f>
        <v/>
      </c>
      <c r="S356" t="str">
        <f>Sheet1!AK356</f>
        <v>In Proses</v>
      </c>
      <c r="T356" t="str">
        <f>Sheet1!AL356</f>
        <v>SA</v>
      </c>
      <c r="U356" t="str">
        <f t="shared" si="5"/>
        <v>Done Survey</v>
      </c>
    </row>
    <row r="357" spans="1:21" x14ac:dyDescent="0.25">
      <c r="A357">
        <f>Sheet1!A357</f>
        <v>356</v>
      </c>
      <c r="B357" t="str">
        <f>Sheet1!B357</f>
        <v>BEKASI</v>
      </c>
      <c r="C357" t="str">
        <f>Sheet1!C357</f>
        <v>PUNGKASEPTO HANDADI</v>
      </c>
      <c r="D357" t="str">
        <f>Sheet1!D357</f>
        <v>ODRNO2607270221</v>
      </c>
      <c r="E357" t="str">
        <f>Sheet1!E357</f>
        <v>811PRS20260705078</v>
      </c>
      <c r="F357" t="str">
        <f>Sheet1!F357</f>
        <v>Sales Agent (SA)</v>
      </c>
      <c r="G357">
        <f>Sheet1!G357</f>
        <v>0</v>
      </c>
      <c r="H357">
        <f>Sheet1!H357</f>
        <v>0</v>
      </c>
      <c r="I357" t="str">
        <f>Sheet1!I357</f>
        <v>KURNIAWAN ARIBOWO</v>
      </c>
      <c r="J357" s="2">
        <f>Sheet1!K357</f>
        <v>46230.611958101901</v>
      </c>
      <c r="K357" s="2">
        <f>Sheet1!L357</f>
        <v>46230.621898807898</v>
      </c>
      <c r="L357" t="str">
        <f>Sheet1!M357</f>
        <v>Drop Data by CA</v>
      </c>
      <c r="M357" t="str">
        <f>Sheet1!P357</f>
        <v>HONDA</v>
      </c>
      <c r="N357" t="str">
        <f>Sheet1!Q357</f>
        <v>2012</v>
      </c>
      <c r="O357">
        <f>Sheet1!AB357</f>
        <v>0</v>
      </c>
      <c r="P357" s="2">
        <f>Sheet1!AD357</f>
        <v>0</v>
      </c>
      <c r="Q357" t="str">
        <f>Sheet1!AI357</f>
        <v>RIFKI ARDIAN-126166</v>
      </c>
      <c r="R357" t="str">
        <f>Sheet1!AJ357</f>
        <v/>
      </c>
      <c r="S357" t="str">
        <f>Sheet1!AK357</f>
        <v>Reject</v>
      </c>
      <c r="T357" t="str">
        <f>Sheet1!AL357</f>
        <v>SA</v>
      </c>
      <c r="U357">
        <f t="shared" si="5"/>
        <v>0</v>
      </c>
    </row>
    <row r="358" spans="1:21" x14ac:dyDescent="0.25">
      <c r="A358">
        <f>Sheet1!A358</f>
        <v>357</v>
      </c>
      <c r="B358" t="str">
        <f>Sheet1!B358</f>
        <v>BENGKULU</v>
      </c>
      <c r="C358" t="str">
        <f>Sheet1!C358</f>
        <v>asbuan</v>
      </c>
      <c r="D358" t="str">
        <f>Sheet1!D358</f>
        <v>ODRNO2607270272</v>
      </c>
      <c r="E358" t="str">
        <f>Sheet1!E358</f>
        <v>809PRS20260701341</v>
      </c>
      <c r="F358" t="str">
        <f>Sheet1!F358</f>
        <v>Sales Agent (SA)</v>
      </c>
      <c r="G358">
        <f>Sheet1!G358</f>
        <v>0</v>
      </c>
      <c r="H358">
        <f>Sheet1!H358</f>
        <v>0</v>
      </c>
      <c r="I358" t="str">
        <f>Sheet1!I358</f>
        <v>ADE CHANDRA PANE</v>
      </c>
      <c r="J358" s="2">
        <f>Sheet1!K358</f>
        <v>46230.729067511602</v>
      </c>
      <c r="K358" s="2">
        <f>Sheet1!L358</f>
        <v>46230.739704710701</v>
      </c>
      <c r="L358" t="str">
        <f>Sheet1!M358</f>
        <v>Must Edit Prospect on Confins</v>
      </c>
      <c r="M358" t="str">
        <f>Sheet1!P358</f>
        <v>TOYOTA</v>
      </c>
      <c r="N358" t="str">
        <f>Sheet1!Q358</f>
        <v>2023</v>
      </c>
      <c r="O358">
        <f>Sheet1!AB358</f>
        <v>0</v>
      </c>
      <c r="P358" s="2">
        <f>Sheet1!AD358</f>
        <v>0</v>
      </c>
      <c r="Q358" t="str">
        <f>Sheet1!AI358</f>
        <v>IMSON SAHRI-126370</v>
      </c>
      <c r="R358" t="str">
        <f>Sheet1!AJ358</f>
        <v/>
      </c>
      <c r="S358" t="str">
        <f>Sheet1!AK358</f>
        <v>In Proses</v>
      </c>
      <c r="T358" t="str">
        <f>Sheet1!AL358</f>
        <v>SA</v>
      </c>
      <c r="U358">
        <f t="shared" si="5"/>
        <v>0</v>
      </c>
    </row>
    <row r="359" spans="1:21" x14ac:dyDescent="0.25">
      <c r="A359">
        <f>Sheet1!A359</f>
        <v>358</v>
      </c>
      <c r="B359" t="str">
        <f>Sheet1!B359</f>
        <v>CILEGON</v>
      </c>
      <c r="C359" t="str">
        <f>Sheet1!C359</f>
        <v>MARSINAH</v>
      </c>
      <c r="D359" t="str">
        <f>Sheet1!D359</f>
        <v>ODRNO2607270108</v>
      </c>
      <c r="E359" t="str">
        <f>Sheet1!E359</f>
        <v>833PRS20260700983</v>
      </c>
      <c r="F359" t="str">
        <f>Sheet1!F359</f>
        <v>Telemarketing Program</v>
      </c>
      <c r="G359">
        <f>Sheet1!G359</f>
        <v>0</v>
      </c>
      <c r="H359">
        <f>Sheet1!H359</f>
        <v>0</v>
      </c>
      <c r="I359" t="str">
        <f>Sheet1!I359</f>
        <v>Ichwanusshafa</v>
      </c>
      <c r="J359" s="2">
        <f>Sheet1!K359</f>
        <v>46230.441353784699</v>
      </c>
      <c r="K359" s="2">
        <f>Sheet1!L359</f>
        <v>46230.458627314802</v>
      </c>
      <c r="L359" t="str">
        <f>Sheet1!M359</f>
        <v>Must Edit Prospect on Confins</v>
      </c>
      <c r="M359" t="str">
        <f>Sheet1!P359</f>
        <v>HONDA</v>
      </c>
      <c r="N359" t="str">
        <f>Sheet1!Q359</f>
        <v>2015</v>
      </c>
      <c r="O359">
        <f>Sheet1!AB359</f>
        <v>0</v>
      </c>
      <c r="P359" s="2">
        <f>Sheet1!AD359</f>
        <v>0</v>
      </c>
      <c r="Q359">
        <f>Sheet1!AI359</f>
        <v>0</v>
      </c>
      <c r="R359">
        <f>Sheet1!AJ359</f>
        <v>0</v>
      </c>
      <c r="S359" t="str">
        <f>Sheet1!AK359</f>
        <v>In Proses</v>
      </c>
      <c r="T359" t="str">
        <f>Sheet1!AL359</f>
        <v>Tele</v>
      </c>
      <c r="U359">
        <f t="shared" si="5"/>
        <v>0</v>
      </c>
    </row>
    <row r="360" spans="1:21" x14ac:dyDescent="0.25">
      <c r="A360">
        <f>Sheet1!A360</f>
        <v>359</v>
      </c>
      <c r="B360" t="str">
        <f>Sheet1!B360</f>
        <v>FATMAWATI</v>
      </c>
      <c r="C360" t="str">
        <f>Sheet1!C360</f>
        <v>MUHAMMAD FEBRYAN WERDHA PANGESTU</v>
      </c>
      <c r="D360" t="str">
        <f>Sheet1!D360</f>
        <v>ODRNO2607270087</v>
      </c>
      <c r="E360" t="str">
        <f>Sheet1!E360</f>
        <v>802PRS20260702463</v>
      </c>
      <c r="F360" t="str">
        <f>Sheet1!F360</f>
        <v>Sales Agent (SA)</v>
      </c>
      <c r="G360">
        <f>Sheet1!G360</f>
        <v>0</v>
      </c>
      <c r="H360">
        <f>Sheet1!H360</f>
        <v>0</v>
      </c>
      <c r="I360" t="str">
        <f>Sheet1!I360</f>
        <v>RIZQI APRIANSYAH</v>
      </c>
      <c r="J360" s="2">
        <f>Sheet1!K360</f>
        <v>46230.416156979198</v>
      </c>
      <c r="K360" s="2">
        <f>Sheet1!L360</f>
        <v>46230.434694247699</v>
      </c>
      <c r="L360" t="str">
        <f>Sheet1!M360</f>
        <v>Prospect Cancel</v>
      </c>
      <c r="M360" t="str">
        <f>Sheet1!P360</f>
        <v>SUZUKI</v>
      </c>
      <c r="N360" t="str">
        <f>Sheet1!Q360</f>
        <v>2023</v>
      </c>
      <c r="O360">
        <f>Sheet1!AB360</f>
        <v>0</v>
      </c>
      <c r="P360" s="2">
        <f>Sheet1!AD360</f>
        <v>0</v>
      </c>
      <c r="Q360" t="str">
        <f>Sheet1!AI360</f>
        <v>LAURA RONISA HABEAHAN-0726035</v>
      </c>
      <c r="R360" t="str">
        <f>Sheet1!AJ360</f>
        <v/>
      </c>
      <c r="S360" t="str">
        <f>Sheet1!AK360</f>
        <v>Cancel</v>
      </c>
      <c r="T360" t="str">
        <f>Sheet1!AL360</f>
        <v>SA</v>
      </c>
      <c r="U360">
        <f t="shared" si="5"/>
        <v>0</v>
      </c>
    </row>
    <row r="361" spans="1:21" x14ac:dyDescent="0.25">
      <c r="A361">
        <f>Sheet1!A361</f>
        <v>360</v>
      </c>
      <c r="B361" t="str">
        <f>Sheet1!B361</f>
        <v>FATMAWATI</v>
      </c>
      <c r="C361" t="str">
        <f>Sheet1!C361</f>
        <v>JATRA RAHARJA</v>
      </c>
      <c r="D361" t="str">
        <f>Sheet1!D361</f>
        <v>ODRNO2607270112</v>
      </c>
      <c r="E361" t="str">
        <f>Sheet1!E361</f>
        <v>802PRS20260702464</v>
      </c>
      <c r="F361" t="str">
        <f>Sheet1!F361</f>
        <v>Sales Agent (SA)</v>
      </c>
      <c r="G361">
        <f>Sheet1!G361</f>
        <v>0</v>
      </c>
      <c r="H361">
        <f>Sheet1!H361</f>
        <v>0</v>
      </c>
      <c r="I361" t="str">
        <f>Sheet1!I361</f>
        <v>RIZQI APRIANSYAH</v>
      </c>
      <c r="J361" s="2">
        <f>Sheet1!K361</f>
        <v>46230.44599375</v>
      </c>
      <c r="K361" s="2">
        <f>Sheet1!L361</f>
        <v>46230.458629745401</v>
      </c>
      <c r="L361" t="str">
        <f>Sheet1!M361</f>
        <v>Drop Data by CA</v>
      </c>
      <c r="M361" t="str">
        <f>Sheet1!P361</f>
        <v>DAIHATSU</v>
      </c>
      <c r="N361" t="str">
        <f>Sheet1!Q361</f>
        <v>2010</v>
      </c>
      <c r="O361">
        <f>Sheet1!AB361</f>
        <v>0</v>
      </c>
      <c r="P361" s="2">
        <f>Sheet1!AD361</f>
        <v>0</v>
      </c>
      <c r="Q361" t="str">
        <f>Sheet1!AI361</f>
        <v>ASEP RUSLI HIDAYAT M-0726018</v>
      </c>
      <c r="R361" t="str">
        <f>Sheet1!AJ361</f>
        <v/>
      </c>
      <c r="S361" t="str">
        <f>Sheet1!AK361</f>
        <v>Reject</v>
      </c>
      <c r="T361" t="str">
        <f>Sheet1!AL361</f>
        <v>SA</v>
      </c>
      <c r="U361">
        <f t="shared" si="5"/>
        <v>0</v>
      </c>
    </row>
    <row r="362" spans="1:21" x14ac:dyDescent="0.25">
      <c r="A362">
        <f>Sheet1!A362</f>
        <v>361</v>
      </c>
      <c r="B362" t="str">
        <f>Sheet1!B362</f>
        <v>JAMBI</v>
      </c>
      <c r="C362" t="str">
        <f>Sheet1!C362</f>
        <v>elizet panjaitan</v>
      </c>
      <c r="D362" t="str">
        <f>Sheet1!D362</f>
        <v>ODRNO2607270289</v>
      </c>
      <c r="E362" t="str">
        <f>Sheet1!E362</f>
        <v>807PRS20260703181</v>
      </c>
      <c r="F362" t="str">
        <f>Sheet1!F362</f>
        <v>Sales Agent (SA)</v>
      </c>
      <c r="G362">
        <f>Sheet1!G362</f>
        <v>0</v>
      </c>
      <c r="H362">
        <f>Sheet1!H362</f>
        <v>0</v>
      </c>
      <c r="I362" t="str">
        <f>Sheet1!I362</f>
        <v>Suhardi</v>
      </c>
      <c r="J362" s="2">
        <f>Sheet1!K362</f>
        <v>46230.831758993103</v>
      </c>
      <c r="K362" s="2">
        <f>Sheet1!L362</f>
        <v>46230.836891400497</v>
      </c>
      <c r="L362" t="str">
        <f>Sheet1!M362</f>
        <v>Must Edit Prospect on Confins</v>
      </c>
      <c r="M362" t="str">
        <f>Sheet1!P362</f>
        <v>TOYOTA</v>
      </c>
      <c r="N362" t="str">
        <f>Sheet1!Q362</f>
        <v>2024</v>
      </c>
      <c r="O362">
        <f>Sheet1!AB362</f>
        <v>0</v>
      </c>
      <c r="P362" s="2">
        <f>Sheet1!AD362</f>
        <v>0</v>
      </c>
      <c r="Q362" t="str">
        <f>Sheet1!AI362</f>
        <v>AGUS SURIADI-126040</v>
      </c>
      <c r="R362" t="str">
        <f>Sheet1!AJ362</f>
        <v/>
      </c>
      <c r="S362" t="str">
        <f>Sheet1!AK362</f>
        <v>In Proses</v>
      </c>
      <c r="T362" t="str">
        <f>Sheet1!AL362</f>
        <v>SA</v>
      </c>
      <c r="U362">
        <f t="shared" si="5"/>
        <v>0</v>
      </c>
    </row>
    <row r="363" spans="1:21" x14ac:dyDescent="0.25">
      <c r="A363">
        <f>Sheet1!A363</f>
        <v>362</v>
      </c>
      <c r="B363" t="str">
        <f>Sheet1!B363</f>
        <v>KEMAYORAN</v>
      </c>
      <c r="C363" t="str">
        <f>Sheet1!C363</f>
        <v>Mohammad Ali Alkam</v>
      </c>
      <c r="D363" t="str">
        <f>Sheet1!D363</f>
        <v>ODRNO2607270183</v>
      </c>
      <c r="E363" t="str">
        <f>Sheet1!E363</f>
        <v>801PRS20260700957</v>
      </c>
      <c r="F363" t="str">
        <f>Sheet1!F363</f>
        <v>Sales Agent (SA)</v>
      </c>
      <c r="G363">
        <f>Sheet1!G363</f>
        <v>0</v>
      </c>
      <c r="H363">
        <f>Sheet1!H363</f>
        <v>0</v>
      </c>
      <c r="I363" t="str">
        <f>Sheet1!I363</f>
        <v>MUHAMMAD RIZQY KEMAL</v>
      </c>
      <c r="J363" s="2">
        <f>Sheet1!K363</f>
        <v>46230.552660451402</v>
      </c>
      <c r="K363" s="2">
        <f>Sheet1!L363</f>
        <v>46230.559797650501</v>
      </c>
      <c r="L363" t="str">
        <f>Sheet1!M363</f>
        <v>Drop Data by CA</v>
      </c>
      <c r="M363" t="str">
        <f>Sheet1!P363</f>
        <v>SUZUKI</v>
      </c>
      <c r="N363" t="str">
        <f>Sheet1!Q363</f>
        <v>2023</v>
      </c>
      <c r="O363">
        <f>Sheet1!AB363</f>
        <v>0</v>
      </c>
      <c r="P363" s="2">
        <f>Sheet1!AD363</f>
        <v>0</v>
      </c>
      <c r="Q363" t="str">
        <f>Sheet1!AI363</f>
        <v>MUHAMMAD ASLAMI DHUHA FALEYRI-0626003</v>
      </c>
      <c r="R363" t="str">
        <f>Sheet1!AJ363</f>
        <v/>
      </c>
      <c r="S363" t="str">
        <f>Sheet1!AK363</f>
        <v>Reject</v>
      </c>
      <c r="T363" t="str">
        <f>Sheet1!AL363</f>
        <v>SA</v>
      </c>
      <c r="U363">
        <f t="shared" si="5"/>
        <v>0</v>
      </c>
    </row>
    <row r="364" spans="1:21" x14ac:dyDescent="0.25">
      <c r="A364">
        <f>Sheet1!A364</f>
        <v>363</v>
      </c>
      <c r="B364" t="str">
        <f>Sheet1!B364</f>
        <v>LAMPUNG</v>
      </c>
      <c r="C364" t="str">
        <f>Sheet1!C364</f>
        <v>ibnu santoso</v>
      </c>
      <c r="D364" t="str">
        <f>Sheet1!D364</f>
        <v>ODRNO2607270218</v>
      </c>
      <c r="E364" t="str">
        <f>Sheet1!E364</f>
        <v>810PRS20260700746</v>
      </c>
      <c r="F364" t="str">
        <f>Sheet1!F364</f>
        <v>Sales Agent (SA)</v>
      </c>
      <c r="G364">
        <f>Sheet1!G364</f>
        <v>0</v>
      </c>
      <c r="H364">
        <f>Sheet1!H364</f>
        <v>0</v>
      </c>
      <c r="I364" t="str">
        <f>Sheet1!I364</f>
        <v>AZWAN</v>
      </c>
      <c r="J364" s="2">
        <f>Sheet1!K364</f>
        <v>46230.605404247697</v>
      </c>
      <c r="K364" s="2">
        <f>Sheet1!L364</f>
        <v>46233.617086111102</v>
      </c>
      <c r="L364" t="str">
        <f>Sheet1!M364</f>
        <v>Drop Data by CA</v>
      </c>
      <c r="M364" t="str">
        <f>Sheet1!P364</f>
        <v>DAIHATSU</v>
      </c>
      <c r="N364" t="str">
        <f>Sheet1!Q364</f>
        <v>2017</v>
      </c>
      <c r="O364">
        <f>Sheet1!AB364</f>
        <v>0</v>
      </c>
      <c r="P364" s="2">
        <f>Sheet1!AD364</f>
        <v>0</v>
      </c>
      <c r="Q364" t="str">
        <f>Sheet1!AI364</f>
        <v>DWI SINTA FEBRIANA-126006</v>
      </c>
      <c r="R364" t="str">
        <f>Sheet1!AJ364</f>
        <v/>
      </c>
      <c r="S364" t="str">
        <f>Sheet1!AK364</f>
        <v>Reject</v>
      </c>
      <c r="T364" t="str">
        <f>Sheet1!AL364</f>
        <v>SA</v>
      </c>
      <c r="U364">
        <f t="shared" si="5"/>
        <v>0</v>
      </c>
    </row>
    <row r="365" spans="1:21" x14ac:dyDescent="0.25">
      <c r="A365">
        <f>Sheet1!A365</f>
        <v>364</v>
      </c>
      <c r="B365" t="str">
        <f>Sheet1!B365</f>
        <v>MEDAN DUA</v>
      </c>
      <c r="C365" t="str">
        <f>Sheet1!C365</f>
        <v>ASNIJAR</v>
      </c>
      <c r="D365" t="str">
        <f>Sheet1!D365</f>
        <v>ODRNO2607270066</v>
      </c>
      <c r="E365" t="str">
        <f>Sheet1!E365</f>
        <v>839PRS20260700986</v>
      </c>
      <c r="F365" t="str">
        <f>Sheet1!F365</f>
        <v>Sales Agent (SA)</v>
      </c>
      <c r="G365">
        <f>Sheet1!G365</f>
        <v>0</v>
      </c>
      <c r="H365">
        <f>Sheet1!H365</f>
        <v>0</v>
      </c>
      <c r="I365" t="str">
        <f>Sheet1!I365</f>
        <v>WASTO SIHOMBING</v>
      </c>
      <c r="J365" s="2">
        <f>Sheet1!K365</f>
        <v>46230.3927875347</v>
      </c>
      <c r="K365" s="2">
        <f>Sheet1!L365</f>
        <v>46230.406955057901</v>
      </c>
      <c r="L365" t="str">
        <f>Sheet1!M365</f>
        <v>Drop Data by CA</v>
      </c>
      <c r="M365" t="str">
        <f>Sheet1!P365</f>
        <v>HONDA</v>
      </c>
      <c r="N365" t="str">
        <f>Sheet1!Q365</f>
        <v>2019</v>
      </c>
      <c r="O365">
        <f>Sheet1!AB365</f>
        <v>0</v>
      </c>
      <c r="P365" s="2">
        <f>Sheet1!AD365</f>
        <v>0</v>
      </c>
      <c r="Q365" t="str">
        <f>Sheet1!AI365</f>
        <v>JESMON ANDRIKO SINAGA-226043</v>
      </c>
      <c r="R365" t="str">
        <f>Sheet1!AJ365</f>
        <v/>
      </c>
      <c r="S365" t="str">
        <f>Sheet1!AK365</f>
        <v>Reject</v>
      </c>
      <c r="T365" t="str">
        <f>Sheet1!AL365</f>
        <v>SA</v>
      </c>
      <c r="U365">
        <f t="shared" si="5"/>
        <v>0</v>
      </c>
    </row>
    <row r="366" spans="1:21" x14ac:dyDescent="0.25">
      <c r="A366">
        <f>Sheet1!A366</f>
        <v>365</v>
      </c>
      <c r="B366" t="str">
        <f>Sheet1!B366</f>
        <v>PALANGKARAYA</v>
      </c>
      <c r="C366" t="str">
        <f>Sheet1!C366</f>
        <v>Eddy Kusuma</v>
      </c>
      <c r="D366" t="str">
        <f>Sheet1!D366</f>
        <v>ODRNO2607270137</v>
      </c>
      <c r="E366" t="str">
        <f>Sheet1!E366</f>
        <v>829PRS20260701961</v>
      </c>
      <c r="F366" t="str">
        <f>Sheet1!F366</f>
        <v>Sales Agent (SA)</v>
      </c>
      <c r="G366">
        <f>Sheet1!G366</f>
        <v>0</v>
      </c>
      <c r="H366">
        <f>Sheet1!H366</f>
        <v>0</v>
      </c>
      <c r="I366" t="str">
        <f>Sheet1!I366</f>
        <v>M RIZKO MAULANA</v>
      </c>
      <c r="J366" s="2">
        <f>Sheet1!K366</f>
        <v>46230.471322418998</v>
      </c>
      <c r="K366" s="2">
        <f>Sheet1!L366</f>
        <v>46230.490247071801</v>
      </c>
      <c r="L366" t="str">
        <f>Sheet1!M366</f>
        <v>Drop Data by CA</v>
      </c>
      <c r="M366" t="str">
        <f>Sheet1!P366</f>
        <v>TOYOTA</v>
      </c>
      <c r="N366" t="str">
        <f>Sheet1!Q366</f>
        <v>2020</v>
      </c>
      <c r="O366">
        <f>Sheet1!AB366</f>
        <v>0</v>
      </c>
      <c r="P366" s="2">
        <f>Sheet1!AD366</f>
        <v>0</v>
      </c>
      <c r="Q366" t="str">
        <f>Sheet1!AI366</f>
        <v>EDI SUSILO-126242</v>
      </c>
      <c r="R366" t="str">
        <f>Sheet1!AJ366</f>
        <v/>
      </c>
      <c r="S366" t="str">
        <f>Sheet1!AK366</f>
        <v>Reject</v>
      </c>
      <c r="T366" t="str">
        <f>Sheet1!AL366</f>
        <v>SA</v>
      </c>
      <c r="U366">
        <f t="shared" si="5"/>
        <v>0</v>
      </c>
    </row>
    <row r="367" spans="1:21" x14ac:dyDescent="0.25">
      <c r="A367">
        <f>Sheet1!A367</f>
        <v>366</v>
      </c>
      <c r="B367" t="str">
        <f>Sheet1!B367</f>
        <v>SURABAYA SATU</v>
      </c>
      <c r="C367" t="str">
        <f>Sheet1!C367</f>
        <v>choli widayati</v>
      </c>
      <c r="D367" t="str">
        <f>Sheet1!D367</f>
        <v>ODRNO2607270045</v>
      </c>
      <c r="E367" t="str">
        <f>Sheet1!E367</f>
        <v>819PRS20260701061</v>
      </c>
      <c r="F367" t="str">
        <f>Sheet1!F367</f>
        <v>Sales Agent (SA)</v>
      </c>
      <c r="G367" t="str">
        <f>Sheet1!G367</f>
        <v>8191022600013</v>
      </c>
      <c r="H367" t="str">
        <f>Sheet1!H367</f>
        <v>819APP20260700046</v>
      </c>
      <c r="I367" t="str">
        <f>Sheet1!I367</f>
        <v>PONDRA PUJIONO</v>
      </c>
      <c r="J367" s="2">
        <f>Sheet1!K367</f>
        <v>46230.372952858801</v>
      </c>
      <c r="K367" s="2">
        <f>Sheet1!L367</f>
        <v>46232.635478703698</v>
      </c>
      <c r="L367" t="str">
        <f>Sheet1!M367</f>
        <v>Go Live</v>
      </c>
      <c r="M367" t="str">
        <f>Sheet1!P367</f>
        <v>MITSUBISHI</v>
      </c>
      <c r="N367" t="str">
        <f>Sheet1!Q367</f>
        <v>2022</v>
      </c>
      <c r="O367">
        <f>Sheet1!AB367</f>
        <v>187000100</v>
      </c>
      <c r="P367" s="2">
        <f>Sheet1!AD367</f>
        <v>46231</v>
      </c>
      <c r="Q367" t="str">
        <f>Sheet1!AI367</f>
        <v>DWI HARTO-226039</v>
      </c>
      <c r="R367" t="str">
        <f>Sheet1!AJ367</f>
        <v/>
      </c>
      <c r="S367" t="str">
        <f>Sheet1!AK367</f>
        <v>Golive</v>
      </c>
      <c r="T367" t="str">
        <f>Sheet1!AL367</f>
        <v>SA</v>
      </c>
      <c r="U367" t="str">
        <f t="shared" si="5"/>
        <v>Done Survey</v>
      </c>
    </row>
    <row r="368" spans="1:21" x14ac:dyDescent="0.25">
      <c r="A368">
        <f>Sheet1!A368</f>
        <v>367</v>
      </c>
      <c r="B368" t="str">
        <f>Sheet1!B368</f>
        <v>SURABAYA SATU</v>
      </c>
      <c r="C368" t="str">
        <f>Sheet1!C368</f>
        <v xml:space="preserve">arifin </v>
      </c>
      <c r="D368" t="str">
        <f>Sheet1!D368</f>
        <v>ODRNO2607270275</v>
      </c>
      <c r="E368" t="str">
        <f>Sheet1!E368</f>
        <v>819PRS20260701072</v>
      </c>
      <c r="F368" t="str">
        <f>Sheet1!F368</f>
        <v>LandingPage</v>
      </c>
      <c r="G368">
        <f>Sheet1!G368</f>
        <v>0</v>
      </c>
      <c r="H368">
        <f>Sheet1!H368</f>
        <v>0</v>
      </c>
      <c r="I368" t="str">
        <f>Sheet1!I368</f>
        <v>PONDRA PUJIONO</v>
      </c>
      <c r="J368" s="2">
        <f>Sheet1!K368</f>
        <v>46230.735122418999</v>
      </c>
      <c r="K368" s="2">
        <f>Sheet1!L368</f>
        <v>46230.746610335598</v>
      </c>
      <c r="L368" t="str">
        <f>Sheet1!M368</f>
        <v>Drop Data by CA</v>
      </c>
      <c r="M368" t="str">
        <f>Sheet1!P368</f>
        <v>TOYOTA</v>
      </c>
      <c r="N368" t="str">
        <f>Sheet1!Q368</f>
        <v>2016</v>
      </c>
      <c r="O368">
        <f>Sheet1!AB368</f>
        <v>0</v>
      </c>
      <c r="P368" s="2">
        <f>Sheet1!AD368</f>
        <v>0</v>
      </c>
      <c r="Q368">
        <f>Sheet1!AI368</f>
        <v>0</v>
      </c>
      <c r="R368">
        <f>Sheet1!AJ368</f>
        <v>0</v>
      </c>
      <c r="S368" t="str">
        <f>Sheet1!AK368</f>
        <v>Reject</v>
      </c>
      <c r="T368" t="str">
        <f>Sheet1!AL368</f>
        <v>SA</v>
      </c>
      <c r="U368">
        <f t="shared" si="5"/>
        <v>0</v>
      </c>
    </row>
    <row r="369" spans="1:21" x14ac:dyDescent="0.25">
      <c r="A369">
        <f>Sheet1!A369</f>
        <v>368</v>
      </c>
      <c r="B369" t="str">
        <f>Sheet1!B369</f>
        <v>ALAM SUTERA</v>
      </c>
      <c r="C369" t="str">
        <f>Sheet1!C369</f>
        <v>JUFRIN</v>
      </c>
      <c r="D369" t="str">
        <f>Sheet1!D369</f>
        <v>ODRNO2607280214</v>
      </c>
      <c r="E369" t="str">
        <f>Sheet1!E369</f>
        <v>838PRS20260702715</v>
      </c>
      <c r="F369" t="str">
        <f>Sheet1!F369</f>
        <v>Sales Agent (SA)</v>
      </c>
      <c r="G369">
        <f>Sheet1!G369</f>
        <v>0</v>
      </c>
      <c r="H369">
        <f>Sheet1!H369</f>
        <v>0</v>
      </c>
      <c r="I369" t="str">
        <f>Sheet1!I369</f>
        <v>IBRAHIM AZIZ</v>
      </c>
      <c r="J369" s="2">
        <f>Sheet1!K369</f>
        <v>46231.745009756902</v>
      </c>
      <c r="K369" s="2">
        <f>Sheet1!L369</f>
        <v>46231.7619116551</v>
      </c>
      <c r="L369" t="str">
        <f>Sheet1!M369</f>
        <v>Assignment Survey 1</v>
      </c>
      <c r="M369" t="str">
        <f>Sheet1!P369</f>
        <v>HONDA</v>
      </c>
      <c r="N369" t="str">
        <f>Sheet1!Q369</f>
        <v>2011</v>
      </c>
      <c r="O369">
        <f>Sheet1!AB369</f>
        <v>0</v>
      </c>
      <c r="P369" s="2">
        <f>Sheet1!AD369</f>
        <v>0</v>
      </c>
      <c r="Q369" t="str">
        <f>Sheet1!AI369</f>
        <v>APRILLIA ANGGRAENI-126005</v>
      </c>
      <c r="R369" t="str">
        <f>Sheet1!AJ369</f>
        <v/>
      </c>
      <c r="S369" t="str">
        <f>Sheet1!AK369</f>
        <v>In Proses</v>
      </c>
      <c r="T369" t="str">
        <f>Sheet1!AL369</f>
        <v>SA</v>
      </c>
      <c r="U369">
        <f t="shared" si="5"/>
        <v>0</v>
      </c>
    </row>
    <row r="370" spans="1:21" x14ac:dyDescent="0.25">
      <c r="A370">
        <f>Sheet1!A370</f>
        <v>369</v>
      </c>
      <c r="B370" t="str">
        <f>Sheet1!B370</f>
        <v>BANDUNG</v>
      </c>
      <c r="C370" t="str">
        <f>Sheet1!C370</f>
        <v>AI NURHAYATI SAFITRIE</v>
      </c>
      <c r="D370" t="str">
        <f>Sheet1!D370</f>
        <v>ODRNO2607280082</v>
      </c>
      <c r="E370" t="str">
        <f>Sheet1!E370</f>
        <v>813PRS20260705693</v>
      </c>
      <c r="F370" t="str">
        <f>Sheet1!F370</f>
        <v>Sales Agent (SA)</v>
      </c>
      <c r="G370" t="str">
        <f>Sheet1!G370</f>
        <v>8131022600019</v>
      </c>
      <c r="H370" t="str">
        <f>Sheet1!H370</f>
        <v>813APP20260700152</v>
      </c>
      <c r="I370" t="str">
        <f>Sheet1!I370</f>
        <v>RAMDHAN FIRMANSYAH</v>
      </c>
      <c r="J370" s="2">
        <f>Sheet1!K370</f>
        <v>46231.425359918998</v>
      </c>
      <c r="K370" s="2">
        <f>Sheet1!L370</f>
        <v>46233.921502349498</v>
      </c>
      <c r="L370" t="str">
        <f>Sheet1!M370</f>
        <v>Go Live</v>
      </c>
      <c r="M370" t="str">
        <f>Sheet1!P370</f>
        <v>HONDA</v>
      </c>
      <c r="N370" t="str">
        <f>Sheet1!Q370</f>
        <v>2018</v>
      </c>
      <c r="O370">
        <f>Sheet1!AB370</f>
        <v>275400000</v>
      </c>
      <c r="P370" s="2">
        <f>Sheet1!AD370</f>
        <v>46232</v>
      </c>
      <c r="Q370" t="str">
        <f>Sheet1!AI370</f>
        <v>BAGJA SANJAYA-126014</v>
      </c>
      <c r="R370" t="str">
        <f>Sheet1!AJ370</f>
        <v/>
      </c>
      <c r="S370" t="str">
        <f>Sheet1!AK370</f>
        <v>Golive</v>
      </c>
      <c r="T370" t="str">
        <f>Sheet1!AL370</f>
        <v>SA</v>
      </c>
      <c r="U370" t="str">
        <f t="shared" si="5"/>
        <v>Done Survey</v>
      </c>
    </row>
    <row r="371" spans="1:21" x14ac:dyDescent="0.25">
      <c r="A371">
        <f>Sheet1!A371</f>
        <v>370</v>
      </c>
      <c r="B371" t="str">
        <f>Sheet1!B371</f>
        <v>BANDUNG</v>
      </c>
      <c r="C371" t="str">
        <f>Sheet1!C371</f>
        <v>HASAN</v>
      </c>
      <c r="D371" t="str">
        <f>Sheet1!D371</f>
        <v>ODRNO2607280115</v>
      </c>
      <c r="E371" t="str">
        <f>Sheet1!E371</f>
        <v>813PRS20260705698</v>
      </c>
      <c r="F371" t="str">
        <f>Sheet1!F371</f>
        <v>Sales Agent (SA)</v>
      </c>
      <c r="G371">
        <f>Sheet1!G371</f>
        <v>0</v>
      </c>
      <c r="H371">
        <f>Sheet1!H371</f>
        <v>0</v>
      </c>
      <c r="I371" t="str">
        <f>Sheet1!I371</f>
        <v>RAMDHAN FIRMANSYAH</v>
      </c>
      <c r="J371" s="2">
        <f>Sheet1!K371</f>
        <v>46231.485127581</v>
      </c>
      <c r="K371" s="2">
        <f>Sheet1!L371</f>
        <v>46231.493504513899</v>
      </c>
      <c r="L371" t="str">
        <f>Sheet1!M371</f>
        <v>Drop Data by CA</v>
      </c>
      <c r="M371" t="str">
        <f>Sheet1!P371</f>
        <v>DAIHATSU</v>
      </c>
      <c r="N371" t="str">
        <f>Sheet1!Q371</f>
        <v>2019</v>
      </c>
      <c r="O371">
        <f>Sheet1!AB371</f>
        <v>0</v>
      </c>
      <c r="P371" s="2">
        <f>Sheet1!AD371</f>
        <v>0</v>
      </c>
      <c r="Q371" t="str">
        <f>Sheet1!AI371</f>
        <v>MOCHAMAD SONSON AFIAT SE-126320</v>
      </c>
      <c r="R371" t="str">
        <f>Sheet1!AJ371</f>
        <v/>
      </c>
      <c r="S371" t="str">
        <f>Sheet1!AK371</f>
        <v>Reject</v>
      </c>
      <c r="T371" t="str">
        <f>Sheet1!AL371</f>
        <v>SA</v>
      </c>
      <c r="U371">
        <f t="shared" si="5"/>
        <v>0</v>
      </c>
    </row>
    <row r="372" spans="1:21" x14ac:dyDescent="0.25">
      <c r="A372">
        <f>Sheet1!A372</f>
        <v>371</v>
      </c>
      <c r="B372" t="str">
        <f>Sheet1!B372</f>
        <v>BEKASI</v>
      </c>
      <c r="C372" t="str">
        <f>Sheet1!C372</f>
        <v>MUSLIH</v>
      </c>
      <c r="D372" t="str">
        <f>Sheet1!D372</f>
        <v>ODRNO2607280124</v>
      </c>
      <c r="E372" t="str">
        <f>Sheet1!E372</f>
        <v>811PRS20260705092</v>
      </c>
      <c r="F372" t="str">
        <f>Sheet1!F372</f>
        <v>Sales Agent (SA)</v>
      </c>
      <c r="G372">
        <f>Sheet1!G372</f>
        <v>0</v>
      </c>
      <c r="H372">
        <f>Sheet1!H372</f>
        <v>0</v>
      </c>
      <c r="I372" t="str">
        <f>Sheet1!I372</f>
        <v>KURNIAWAN ARIBOWO</v>
      </c>
      <c r="J372" s="2">
        <f>Sheet1!K372</f>
        <v>46231.498852974502</v>
      </c>
      <c r="K372" s="2">
        <f>Sheet1!L372</f>
        <v>46231.503574918999</v>
      </c>
      <c r="L372" t="str">
        <f>Sheet1!M372</f>
        <v>Drop Data by CA</v>
      </c>
      <c r="M372" t="str">
        <f>Sheet1!P372</f>
        <v>TOYOTA</v>
      </c>
      <c r="N372" t="str">
        <f>Sheet1!Q372</f>
        <v>2015</v>
      </c>
      <c r="O372">
        <f>Sheet1!AB372</f>
        <v>0</v>
      </c>
      <c r="P372" s="2">
        <f>Sheet1!AD372</f>
        <v>0</v>
      </c>
      <c r="Q372" t="str">
        <f>Sheet1!AI372</f>
        <v>VALENTINUS WAHYU SUSILO-326082</v>
      </c>
      <c r="R372" t="str">
        <f>Sheet1!AJ372</f>
        <v/>
      </c>
      <c r="S372" t="str">
        <f>Sheet1!AK372</f>
        <v>Reject</v>
      </c>
      <c r="T372" t="str">
        <f>Sheet1!AL372</f>
        <v>SA</v>
      </c>
      <c r="U372">
        <f t="shared" si="5"/>
        <v>0</v>
      </c>
    </row>
    <row r="373" spans="1:21" x14ac:dyDescent="0.25">
      <c r="A373">
        <f>Sheet1!A373</f>
        <v>372</v>
      </c>
      <c r="B373" t="str">
        <f>Sheet1!B373</f>
        <v>BEKASI</v>
      </c>
      <c r="C373" t="str">
        <f>Sheet1!C373</f>
        <v>BAGUS WICAKSONO</v>
      </c>
      <c r="D373" t="str">
        <f>Sheet1!D373</f>
        <v>ODRNO2607280199</v>
      </c>
      <c r="E373" t="str">
        <f>Sheet1!E373</f>
        <v>811PRS20260705107</v>
      </c>
      <c r="F373" t="str">
        <f>Sheet1!F373</f>
        <v>LandingPage</v>
      </c>
      <c r="G373">
        <f>Sheet1!G373</f>
        <v>0</v>
      </c>
      <c r="H373">
        <f>Sheet1!H373</f>
        <v>0</v>
      </c>
      <c r="I373" t="str">
        <f>Sheet1!I373</f>
        <v>KURNIAWAN ARIBOWO</v>
      </c>
      <c r="J373" s="2">
        <f>Sheet1!K373</f>
        <v>46231.666416666703</v>
      </c>
      <c r="K373" s="2">
        <f>Sheet1!L373</f>
        <v>46233.382065705999</v>
      </c>
      <c r="L373" t="str">
        <f>Sheet1!M373</f>
        <v>Assignment Survey 1</v>
      </c>
      <c r="M373" t="str">
        <f>Sheet1!P373</f>
        <v>NISSAN</v>
      </c>
      <c r="N373" t="str">
        <f>Sheet1!Q373</f>
        <v>2017</v>
      </c>
      <c r="O373">
        <f>Sheet1!AB373</f>
        <v>0</v>
      </c>
      <c r="P373" s="2">
        <f>Sheet1!AD373</f>
        <v>0</v>
      </c>
      <c r="Q373">
        <f>Sheet1!AI373</f>
        <v>0</v>
      </c>
      <c r="R373">
        <f>Sheet1!AJ373</f>
        <v>0</v>
      </c>
      <c r="S373" t="str">
        <f>Sheet1!AK373</f>
        <v>In Proses</v>
      </c>
      <c r="T373" t="str">
        <f>Sheet1!AL373</f>
        <v>SA</v>
      </c>
      <c r="U373">
        <f t="shared" si="5"/>
        <v>0</v>
      </c>
    </row>
    <row r="374" spans="1:21" x14ac:dyDescent="0.25">
      <c r="A374">
        <f>Sheet1!A374</f>
        <v>373</v>
      </c>
      <c r="B374" t="str">
        <f>Sheet1!B374</f>
        <v>BOGOR</v>
      </c>
      <c r="C374" t="str">
        <f>Sheet1!C374</f>
        <v>muhamad hasan basri</v>
      </c>
      <c r="D374" t="str">
        <f>Sheet1!D374</f>
        <v>ODRNO2607280007</v>
      </c>
      <c r="E374" t="str">
        <f>Sheet1!E374</f>
        <v>812PRS20260701457</v>
      </c>
      <c r="F374" t="str">
        <f>Sheet1!F374</f>
        <v>LandingPage</v>
      </c>
      <c r="G374">
        <f>Sheet1!G374</f>
        <v>0</v>
      </c>
      <c r="H374">
        <f>Sheet1!H374</f>
        <v>0</v>
      </c>
      <c r="I374" t="str">
        <f>Sheet1!I374</f>
        <v>SENJAYA BUDIMAN</v>
      </c>
      <c r="J374" s="2">
        <f>Sheet1!K374</f>
        <v>46231.2899581366</v>
      </c>
      <c r="K374" s="2">
        <f>Sheet1!L374</f>
        <v>46231.298678669002</v>
      </c>
      <c r="L374" t="str">
        <f>Sheet1!M374</f>
        <v>Drop Data by CA</v>
      </c>
      <c r="M374" t="str">
        <f>Sheet1!P374</f>
        <v>TOYOTA</v>
      </c>
      <c r="N374" t="str">
        <f>Sheet1!Q374</f>
        <v>2017</v>
      </c>
      <c r="O374">
        <f>Sheet1!AB374</f>
        <v>0</v>
      </c>
      <c r="P374" s="2">
        <f>Sheet1!AD374</f>
        <v>0</v>
      </c>
      <c r="Q374">
        <f>Sheet1!AI374</f>
        <v>0</v>
      </c>
      <c r="R374">
        <f>Sheet1!AJ374</f>
        <v>0</v>
      </c>
      <c r="S374" t="str">
        <f>Sheet1!AK374</f>
        <v>Reject</v>
      </c>
      <c r="T374" t="str">
        <f>Sheet1!AL374</f>
        <v>SA</v>
      </c>
      <c r="U374">
        <f t="shared" si="5"/>
        <v>0</v>
      </c>
    </row>
    <row r="375" spans="1:21" x14ac:dyDescent="0.25">
      <c r="A375">
        <f>Sheet1!A375</f>
        <v>374</v>
      </c>
      <c r="B375" t="str">
        <f>Sheet1!B375</f>
        <v>CILEGON</v>
      </c>
      <c r="C375" t="str">
        <f>Sheet1!C375</f>
        <v>AYI SOBARI</v>
      </c>
      <c r="D375" t="str">
        <f>Sheet1!D375</f>
        <v>ODRNO2607280068</v>
      </c>
      <c r="E375" t="str">
        <f>Sheet1!E375</f>
        <v>833PRS20260700987</v>
      </c>
      <c r="F375" t="str">
        <f>Sheet1!F375</f>
        <v>Sales Agent (SA)</v>
      </c>
      <c r="G375">
        <f>Sheet1!G375</f>
        <v>0</v>
      </c>
      <c r="H375" t="str">
        <f>Sheet1!H375</f>
        <v>833APP20260700041</v>
      </c>
      <c r="I375" t="str">
        <f>Sheet1!I375</f>
        <v>BENNY</v>
      </c>
      <c r="J375" s="2">
        <f>Sheet1!K375</f>
        <v>46231.383165590298</v>
      </c>
      <c r="K375" s="2">
        <f>Sheet1!L375</f>
        <v>46233.743115046302</v>
      </c>
      <c r="L375" t="str">
        <f>Sheet1!M375</f>
        <v>Return Handling</v>
      </c>
      <c r="M375" t="str">
        <f>Sheet1!P375</f>
        <v>HONDA</v>
      </c>
      <c r="N375" t="str">
        <f>Sheet1!Q375</f>
        <v>2020</v>
      </c>
      <c r="O375">
        <f>Sheet1!AB375</f>
        <v>0</v>
      </c>
      <c r="P375" s="2">
        <f>Sheet1!AD375</f>
        <v>46233</v>
      </c>
      <c r="Q375" t="str">
        <f>Sheet1!AI375</f>
        <v>A A GEDE BAGUS PUTRA WIRAWAN-0626024</v>
      </c>
      <c r="R375" t="str">
        <f>Sheet1!AJ375</f>
        <v/>
      </c>
      <c r="S375" t="str">
        <f>Sheet1!AK375</f>
        <v>In Proses</v>
      </c>
      <c r="T375" t="str">
        <f>Sheet1!AL375</f>
        <v>SA</v>
      </c>
      <c r="U375" t="str">
        <f t="shared" si="5"/>
        <v>Done Survey</v>
      </c>
    </row>
    <row r="376" spans="1:21" x14ac:dyDescent="0.25">
      <c r="A376">
        <f>Sheet1!A376</f>
        <v>375</v>
      </c>
      <c r="B376" t="str">
        <f>Sheet1!B376</f>
        <v>DENPASAR</v>
      </c>
      <c r="C376" t="str">
        <f>Sheet1!C376</f>
        <v>KETUT WIDARA</v>
      </c>
      <c r="D376" t="str">
        <f>Sheet1!D376</f>
        <v>ODRNO2607280040</v>
      </c>
      <c r="E376" t="str">
        <f>Sheet1!E376</f>
        <v>821PRS20260700798</v>
      </c>
      <c r="F376" t="str">
        <f>Sheet1!F376</f>
        <v>Sales Agent (SA)</v>
      </c>
      <c r="G376">
        <f>Sheet1!G376</f>
        <v>0</v>
      </c>
      <c r="H376">
        <f>Sheet1!H376</f>
        <v>0</v>
      </c>
      <c r="I376" t="str">
        <f>Sheet1!I376</f>
        <v>I MADE BAGUS PUTRA WIRAPASTIKA S I KOM</v>
      </c>
      <c r="J376" s="2">
        <f>Sheet1!K376</f>
        <v>46231.363853356503</v>
      </c>
      <c r="K376" s="2">
        <f>Sheet1!L376</f>
        <v>46231.375261689798</v>
      </c>
      <c r="L376" t="str">
        <f>Sheet1!M376</f>
        <v>Drop Data by CA</v>
      </c>
      <c r="M376" t="str">
        <f>Sheet1!P376</f>
        <v>TOYOTA</v>
      </c>
      <c r="N376" t="str">
        <f>Sheet1!Q376</f>
        <v>2019</v>
      </c>
      <c r="O376">
        <f>Sheet1!AB376</f>
        <v>0</v>
      </c>
      <c r="P376" s="2">
        <f>Sheet1!AD376</f>
        <v>0</v>
      </c>
      <c r="Q376" t="str">
        <f>Sheet1!AI376</f>
        <v>I MADE AGUS SURYAWAN-226093</v>
      </c>
      <c r="R376" t="str">
        <f>Sheet1!AJ376</f>
        <v/>
      </c>
      <c r="S376" t="str">
        <f>Sheet1!AK376</f>
        <v>Reject</v>
      </c>
      <c r="T376" t="str">
        <f>Sheet1!AL376</f>
        <v>SA</v>
      </c>
      <c r="U376">
        <f t="shared" si="5"/>
        <v>0</v>
      </c>
    </row>
    <row r="377" spans="1:21" x14ac:dyDescent="0.25">
      <c r="A377">
        <f>Sheet1!A377</f>
        <v>376</v>
      </c>
      <c r="B377" t="str">
        <f>Sheet1!B377</f>
        <v>FATMAWATI</v>
      </c>
      <c r="C377" t="str">
        <f>Sheet1!C377</f>
        <v>DWI WAHYUNI SUSINAWANTI</v>
      </c>
      <c r="D377" t="str">
        <f>Sheet1!D377</f>
        <v>ODRNO2607280071</v>
      </c>
      <c r="E377" t="str">
        <f>Sheet1!E377</f>
        <v>802PRS20260702483</v>
      </c>
      <c r="F377" t="str">
        <f>Sheet1!F377</f>
        <v>Sales Agent (SA)</v>
      </c>
      <c r="G377">
        <f>Sheet1!G377</f>
        <v>0</v>
      </c>
      <c r="H377">
        <f>Sheet1!H377</f>
        <v>0</v>
      </c>
      <c r="I377" t="str">
        <f>Sheet1!I377</f>
        <v>RIZQI APRIANSYAH</v>
      </c>
      <c r="J377" s="2">
        <f>Sheet1!K377</f>
        <v>46231.389115775499</v>
      </c>
      <c r="K377" s="2">
        <f>Sheet1!L377</f>
        <v>46231.407411111097</v>
      </c>
      <c r="L377" t="str">
        <f>Sheet1!M377</f>
        <v>Assignment Survey 1</v>
      </c>
      <c r="M377" t="str">
        <f>Sheet1!P377</f>
        <v>AION</v>
      </c>
      <c r="N377" t="str">
        <f>Sheet1!Q377</f>
        <v>2024</v>
      </c>
      <c r="O377">
        <f>Sheet1!AB377</f>
        <v>0</v>
      </c>
      <c r="P377" s="2">
        <f>Sheet1!AD377</f>
        <v>0</v>
      </c>
      <c r="Q377" t="str">
        <f>Sheet1!AI377</f>
        <v>ASEP RUSLI HIDAYAT M-0726018</v>
      </c>
      <c r="R377" t="str">
        <f>Sheet1!AJ377</f>
        <v/>
      </c>
      <c r="S377" t="str">
        <f>Sheet1!AK377</f>
        <v>In Proses</v>
      </c>
      <c r="T377" t="str">
        <f>Sheet1!AL377</f>
        <v>SA</v>
      </c>
      <c r="U377">
        <f t="shared" si="5"/>
        <v>0</v>
      </c>
    </row>
    <row r="378" spans="1:21" x14ac:dyDescent="0.25">
      <c r="A378">
        <f>Sheet1!A378</f>
        <v>377</v>
      </c>
      <c r="B378" t="str">
        <f>Sheet1!B378</f>
        <v>FATMAWATI</v>
      </c>
      <c r="C378" t="str">
        <f>Sheet1!C378</f>
        <v>SAUT MAROJAHAN HUTAPEA</v>
      </c>
      <c r="D378" t="str">
        <f>Sheet1!D378</f>
        <v>ODRNO2607280092</v>
      </c>
      <c r="E378" t="str">
        <f>Sheet1!E378</f>
        <v>802PRS20260702485</v>
      </c>
      <c r="F378" t="str">
        <f>Sheet1!F378</f>
        <v>Sales Agent (SA)</v>
      </c>
      <c r="G378">
        <f>Sheet1!G378</f>
        <v>0</v>
      </c>
      <c r="H378">
        <f>Sheet1!H378</f>
        <v>0</v>
      </c>
      <c r="I378" t="str">
        <f>Sheet1!I378</f>
        <v>RIZQI APRIANSYAH</v>
      </c>
      <c r="J378" s="2">
        <f>Sheet1!K378</f>
        <v>46231.4465706829</v>
      </c>
      <c r="K378" s="2">
        <f>Sheet1!L378</f>
        <v>46231.456585150503</v>
      </c>
      <c r="L378" t="str">
        <f>Sheet1!M378</f>
        <v>Prospect Cancel</v>
      </c>
      <c r="M378" t="str">
        <f>Sheet1!P378</f>
        <v>HONDA</v>
      </c>
      <c r="N378" t="str">
        <f>Sheet1!Q378</f>
        <v>2020</v>
      </c>
      <c r="O378">
        <f>Sheet1!AB378</f>
        <v>0</v>
      </c>
      <c r="P378" s="2">
        <f>Sheet1!AD378</f>
        <v>0</v>
      </c>
      <c r="Q378" t="str">
        <f>Sheet1!AI378</f>
        <v>ASEP RUSLI HIDAYAT M-0726018</v>
      </c>
      <c r="R378" t="str">
        <f>Sheet1!AJ378</f>
        <v/>
      </c>
      <c r="S378" t="str">
        <f>Sheet1!AK378</f>
        <v>Cancel</v>
      </c>
      <c r="T378" t="str">
        <f>Sheet1!AL378</f>
        <v>SA</v>
      </c>
      <c r="U378">
        <f t="shared" si="5"/>
        <v>0</v>
      </c>
    </row>
    <row r="379" spans="1:21" x14ac:dyDescent="0.25">
      <c r="A379">
        <f>Sheet1!A379</f>
        <v>378</v>
      </c>
      <c r="B379" t="str">
        <f>Sheet1!B379</f>
        <v>LAMPUNG</v>
      </c>
      <c r="C379" t="str">
        <f>Sheet1!C379</f>
        <v>sahroni</v>
      </c>
      <c r="D379" t="str">
        <f>Sheet1!D379</f>
        <v>ODRNO2607280130</v>
      </c>
      <c r="E379" t="str">
        <f>Sheet1!E379</f>
        <v>810PRS20260700750</v>
      </c>
      <c r="F379" t="str">
        <f>Sheet1!F379</f>
        <v>Sales Agent (SA)</v>
      </c>
      <c r="G379">
        <f>Sheet1!G379</f>
        <v>0</v>
      </c>
      <c r="H379">
        <f>Sheet1!H379</f>
        <v>0</v>
      </c>
      <c r="I379" t="str">
        <f>Sheet1!I379</f>
        <v>AZWAN</v>
      </c>
      <c r="J379" s="2">
        <f>Sheet1!K379</f>
        <v>46231.515478854199</v>
      </c>
      <c r="K379" s="2">
        <f>Sheet1!L379</f>
        <v>46231.524392048603</v>
      </c>
      <c r="L379" t="str">
        <f>Sheet1!M379</f>
        <v>Drop Data by CA</v>
      </c>
      <c r="M379" t="str">
        <f>Sheet1!P379</f>
        <v>DAIHATSU</v>
      </c>
      <c r="N379" t="str">
        <f>Sheet1!Q379</f>
        <v>2016</v>
      </c>
      <c r="O379">
        <f>Sheet1!AB379</f>
        <v>0</v>
      </c>
      <c r="P379" s="2">
        <f>Sheet1!AD379</f>
        <v>0</v>
      </c>
      <c r="Q379" t="str">
        <f>Sheet1!AI379</f>
        <v>CATUR MARDIYANTO-226006</v>
      </c>
      <c r="R379" t="str">
        <f>Sheet1!AJ379</f>
        <v/>
      </c>
      <c r="S379" t="str">
        <f>Sheet1!AK379</f>
        <v>Reject</v>
      </c>
      <c r="T379" t="str">
        <f>Sheet1!AL379</f>
        <v>SA</v>
      </c>
      <c r="U379">
        <f t="shared" si="5"/>
        <v>0</v>
      </c>
    </row>
    <row r="380" spans="1:21" x14ac:dyDescent="0.25">
      <c r="A380">
        <f>Sheet1!A380</f>
        <v>379</v>
      </c>
      <c r="B380" t="str">
        <f>Sheet1!B380</f>
        <v>PEKANBARU</v>
      </c>
      <c r="C380" t="str">
        <f>Sheet1!C380</f>
        <v>HATOGUAN GUNAWAN HARAHAP</v>
      </c>
      <c r="D380" t="str">
        <f>Sheet1!D380</f>
        <v>ODRNO2607280183</v>
      </c>
      <c r="E380" t="str">
        <f>Sheet1!E380</f>
        <v>805PRS20260702864</v>
      </c>
      <c r="F380" t="str">
        <f>Sheet1!F380</f>
        <v>Telemarketing Program</v>
      </c>
      <c r="G380">
        <f>Sheet1!G380</f>
        <v>0</v>
      </c>
      <c r="H380" t="str">
        <f>Sheet1!H380</f>
        <v>805APP20260700101</v>
      </c>
      <c r="I380" t="str">
        <f>Sheet1!I380</f>
        <v>MUHAMMAD RIDWAN</v>
      </c>
      <c r="J380" s="2">
        <f>Sheet1!K380</f>
        <v>46231.625533761602</v>
      </c>
      <c r="K380" s="2">
        <f>Sheet1!L380</f>
        <v>46231.640220833302</v>
      </c>
      <c r="L380" t="str">
        <f>Sheet1!M380</f>
        <v>Assignment Survey 1</v>
      </c>
      <c r="M380" t="str">
        <f>Sheet1!P380</f>
        <v>TOYOTA</v>
      </c>
      <c r="N380" t="str">
        <f>Sheet1!Q380</f>
        <v>2022</v>
      </c>
      <c r="O380">
        <f>Sheet1!AB380</f>
        <v>0</v>
      </c>
      <c r="P380" s="2">
        <f>Sheet1!AD380</f>
        <v>46233</v>
      </c>
      <c r="Q380">
        <f>Sheet1!AI380</f>
        <v>0</v>
      </c>
      <c r="R380">
        <f>Sheet1!AJ380</f>
        <v>0</v>
      </c>
      <c r="S380" t="str">
        <f>Sheet1!AK380</f>
        <v>In Proses</v>
      </c>
      <c r="T380" t="str">
        <f>Sheet1!AL380</f>
        <v>Tele</v>
      </c>
      <c r="U380" t="str">
        <f t="shared" si="5"/>
        <v>Done Survey</v>
      </c>
    </row>
    <row r="381" spans="1:21" x14ac:dyDescent="0.25">
      <c r="A381">
        <f>Sheet1!A381</f>
        <v>380</v>
      </c>
      <c r="B381" t="str">
        <f>Sheet1!B381</f>
        <v>SEMARANG</v>
      </c>
      <c r="C381" t="str">
        <f>Sheet1!C381</f>
        <v>NOVIKA JAYA VINA</v>
      </c>
      <c r="D381" t="str">
        <f>Sheet1!D381</f>
        <v>ODRNO2607280091</v>
      </c>
      <c r="E381" t="str">
        <f>Sheet1!E381</f>
        <v>816PRS20260700655</v>
      </c>
      <c r="F381" t="str">
        <f>Sheet1!F381</f>
        <v>Sales Agent (SA)</v>
      </c>
      <c r="G381">
        <f>Sheet1!G381</f>
        <v>0</v>
      </c>
      <c r="H381">
        <f>Sheet1!H381</f>
        <v>0</v>
      </c>
      <c r="I381" t="str">
        <f>Sheet1!I381</f>
        <v>SIGIT SUBEKTI</v>
      </c>
      <c r="J381" s="2">
        <f>Sheet1!K381</f>
        <v>46231.443134224501</v>
      </c>
      <c r="K381" s="2">
        <f>Sheet1!L381</f>
        <v>46231.456576701399</v>
      </c>
      <c r="L381" t="str">
        <f>Sheet1!M381</f>
        <v>Assignment Survey 1</v>
      </c>
      <c r="M381" t="str">
        <f>Sheet1!P381</f>
        <v>HONDA</v>
      </c>
      <c r="N381" t="str">
        <f>Sheet1!Q381</f>
        <v>2020</v>
      </c>
      <c r="O381">
        <f>Sheet1!AB381</f>
        <v>0</v>
      </c>
      <c r="P381" s="2">
        <f>Sheet1!AD381</f>
        <v>0</v>
      </c>
      <c r="Q381" t="str">
        <f>Sheet1!AI381</f>
        <v>MUHAMAD SOLIKIN-226139</v>
      </c>
      <c r="R381" t="str">
        <f>Sheet1!AJ381</f>
        <v/>
      </c>
      <c r="S381" t="str">
        <f>Sheet1!AK381</f>
        <v>In Proses</v>
      </c>
      <c r="T381" t="str">
        <f>Sheet1!AL381</f>
        <v>SA</v>
      </c>
      <c r="U381">
        <f t="shared" si="5"/>
        <v>0</v>
      </c>
    </row>
    <row r="382" spans="1:21" x14ac:dyDescent="0.25">
      <c r="A382">
        <f>Sheet1!A382</f>
        <v>381</v>
      </c>
      <c r="B382" t="str">
        <f>Sheet1!B382</f>
        <v>ALAM SUTERA</v>
      </c>
      <c r="C382" t="str">
        <f>Sheet1!C382</f>
        <v>RIANA</v>
      </c>
      <c r="D382" t="str">
        <f>Sheet1!D382</f>
        <v>ODRNO2607290214</v>
      </c>
      <c r="E382" t="str">
        <f>Sheet1!E382</f>
        <v>838PRS20260702739</v>
      </c>
      <c r="F382" t="str">
        <f>Sheet1!F382</f>
        <v>Sales Agent (SA)</v>
      </c>
      <c r="G382" t="str">
        <f>Sheet1!G382</f>
        <v>8381022600046</v>
      </c>
      <c r="H382" t="str">
        <f>Sheet1!H382</f>
        <v>838APP20260700088</v>
      </c>
      <c r="I382" t="str">
        <f>Sheet1!I382</f>
        <v>IBRAHIM AZIZ</v>
      </c>
      <c r="J382" s="2">
        <f>Sheet1!K382</f>
        <v>46232.728477546298</v>
      </c>
      <c r="K382" s="2">
        <f>Sheet1!L382</f>
        <v>46233.666609293999</v>
      </c>
      <c r="L382" t="str">
        <f>Sheet1!M382</f>
        <v>Go Live</v>
      </c>
      <c r="M382" t="str">
        <f>Sheet1!P382</f>
        <v>DAIHATSU</v>
      </c>
      <c r="N382" t="str">
        <f>Sheet1!Q382</f>
        <v>2022</v>
      </c>
      <c r="O382">
        <f>Sheet1!AB382</f>
        <v>153318000</v>
      </c>
      <c r="P382" s="2">
        <f>Sheet1!AD382</f>
        <v>46233</v>
      </c>
      <c r="Q382" t="str">
        <f>Sheet1!AI382</f>
        <v>APRILLIA ANGGRAENI-126005</v>
      </c>
      <c r="R382" t="str">
        <f>Sheet1!AJ382</f>
        <v/>
      </c>
      <c r="S382" t="str">
        <f>Sheet1!AK382</f>
        <v>Golive</v>
      </c>
      <c r="T382" t="str">
        <f>Sheet1!AL382</f>
        <v>SA</v>
      </c>
      <c r="U382" t="str">
        <f t="shared" si="5"/>
        <v>Done Survey</v>
      </c>
    </row>
    <row r="383" spans="1:21" x14ac:dyDescent="0.25">
      <c r="A383">
        <f>Sheet1!A383</f>
        <v>382</v>
      </c>
      <c r="B383" t="str">
        <f>Sheet1!B383</f>
        <v>BANDUNG</v>
      </c>
      <c r="C383" t="str">
        <f>Sheet1!C383</f>
        <v>ODIN</v>
      </c>
      <c r="D383" t="str">
        <f>Sheet1!D383</f>
        <v>ODRNO2607290181</v>
      </c>
      <c r="E383" t="str">
        <f>Sheet1!E383</f>
        <v>813PRS20260705733</v>
      </c>
      <c r="F383" t="str">
        <f>Sheet1!F383</f>
        <v>Sales Agent (SA)</v>
      </c>
      <c r="G383">
        <f>Sheet1!G383</f>
        <v>0</v>
      </c>
      <c r="H383">
        <f>Sheet1!H383</f>
        <v>0</v>
      </c>
      <c r="I383" t="str">
        <f>Sheet1!I383</f>
        <v>RAMDHAN FIRMANSYAH</v>
      </c>
      <c r="J383" s="2">
        <f>Sheet1!K383</f>
        <v>46232.640618750003</v>
      </c>
      <c r="K383" s="2">
        <f>Sheet1!L383</f>
        <v>46232.645943553202</v>
      </c>
      <c r="L383" t="str">
        <f>Sheet1!M383</f>
        <v>Drop Data by CA</v>
      </c>
      <c r="M383" t="str">
        <f>Sheet1!P383</f>
        <v>DAIHATSU</v>
      </c>
      <c r="N383" t="str">
        <f>Sheet1!Q383</f>
        <v>2017</v>
      </c>
      <c r="O383">
        <f>Sheet1!AB383</f>
        <v>0</v>
      </c>
      <c r="P383" s="2">
        <f>Sheet1!AD383</f>
        <v>0</v>
      </c>
      <c r="Q383" t="str">
        <f>Sheet1!AI383</f>
        <v>AGUNG WIBOWO-226216</v>
      </c>
      <c r="R383" t="str">
        <f>Sheet1!AJ383</f>
        <v/>
      </c>
      <c r="S383" t="str">
        <f>Sheet1!AK383</f>
        <v>Reject</v>
      </c>
      <c r="T383" t="str">
        <f>Sheet1!AL383</f>
        <v>SA</v>
      </c>
      <c r="U383">
        <f t="shared" si="5"/>
        <v>0</v>
      </c>
    </row>
    <row r="384" spans="1:21" x14ac:dyDescent="0.25">
      <c r="A384">
        <f>Sheet1!A384</f>
        <v>383</v>
      </c>
      <c r="B384" t="str">
        <f>Sheet1!B384</f>
        <v>BANGKA</v>
      </c>
      <c r="C384" t="str">
        <f>Sheet1!C384</f>
        <v>gusti defranda</v>
      </c>
      <c r="D384" t="str">
        <f>Sheet1!D384</f>
        <v>ODRNO2607290233</v>
      </c>
      <c r="E384" t="str">
        <f>Sheet1!E384</f>
        <v>836PRS20260700574</v>
      </c>
      <c r="F384" t="str">
        <f>Sheet1!F384</f>
        <v>Sales Agent (SA)</v>
      </c>
      <c r="G384" t="str">
        <f>Sheet1!G384</f>
        <v>8361022600002</v>
      </c>
      <c r="H384" t="str">
        <f>Sheet1!H384</f>
        <v>836APP20260700025</v>
      </c>
      <c r="I384" t="str">
        <f>Sheet1!I384</f>
        <v>GUNTUR SAPUTRA</v>
      </c>
      <c r="J384" s="2">
        <f>Sheet1!K384</f>
        <v>46232.867736805601</v>
      </c>
      <c r="K384" s="2">
        <f>Sheet1!L384</f>
        <v>46234.472005671298</v>
      </c>
      <c r="L384" t="str">
        <f>Sheet1!M384</f>
        <v>Agreement Activation</v>
      </c>
      <c r="M384" t="str">
        <f>Sheet1!P384</f>
        <v>HONDA</v>
      </c>
      <c r="N384" t="str">
        <f>Sheet1!Q384</f>
        <v>2019</v>
      </c>
      <c r="O384">
        <f>Sheet1!AB384</f>
        <v>103150000</v>
      </c>
      <c r="P384" s="2">
        <f>Sheet1!AD384</f>
        <v>46233</v>
      </c>
      <c r="Q384" t="str">
        <f>Sheet1!AI384</f>
        <v>ERIK AFLORA-126337</v>
      </c>
      <c r="R384" t="str">
        <f>Sheet1!AJ384</f>
        <v/>
      </c>
      <c r="S384" t="str">
        <f>Sheet1!AK384</f>
        <v>Backlog</v>
      </c>
      <c r="T384" t="str">
        <f>Sheet1!AL384</f>
        <v>SA</v>
      </c>
      <c r="U384" t="str">
        <f t="shared" si="5"/>
        <v>Done Survey</v>
      </c>
    </row>
    <row r="385" spans="1:21" x14ac:dyDescent="0.25">
      <c r="A385">
        <f>Sheet1!A385</f>
        <v>384</v>
      </c>
      <c r="B385" t="str">
        <f>Sheet1!B385</f>
        <v>BANJARMASIN</v>
      </c>
      <c r="C385" t="str">
        <f>Sheet1!C385</f>
        <v>freddy juliantony</v>
      </c>
      <c r="D385" t="str">
        <f>Sheet1!D385</f>
        <v>ODRNO2607290195</v>
      </c>
      <c r="E385" t="str">
        <f>Sheet1!E385</f>
        <v>825PRS20260700497</v>
      </c>
      <c r="F385" t="str">
        <f>Sheet1!F385</f>
        <v>LandingPage</v>
      </c>
      <c r="G385">
        <f>Sheet1!G385</f>
        <v>0</v>
      </c>
      <c r="H385">
        <f>Sheet1!H385</f>
        <v>0</v>
      </c>
      <c r="I385" t="str">
        <f>Sheet1!I385</f>
        <v>Yandi Irawan</v>
      </c>
      <c r="J385" s="2">
        <f>Sheet1!K385</f>
        <v>46232.663610335701</v>
      </c>
      <c r="K385" s="2">
        <f>Sheet1!L385</f>
        <v>46232.670628784697</v>
      </c>
      <c r="L385" t="str">
        <f>Sheet1!M385</f>
        <v>Drop Data by CA</v>
      </c>
      <c r="M385" t="str">
        <f>Sheet1!P385</f>
        <v>ISUZU</v>
      </c>
      <c r="N385" t="str">
        <f>Sheet1!Q385</f>
        <v>2022</v>
      </c>
      <c r="O385">
        <f>Sheet1!AB385</f>
        <v>0</v>
      </c>
      <c r="P385" s="2">
        <f>Sheet1!AD385</f>
        <v>0</v>
      </c>
      <c r="Q385">
        <f>Sheet1!AI385</f>
        <v>0</v>
      </c>
      <c r="R385">
        <f>Sheet1!AJ385</f>
        <v>0</v>
      </c>
      <c r="S385" t="str">
        <f>Sheet1!AK385</f>
        <v>Reject</v>
      </c>
      <c r="T385" t="str">
        <f>Sheet1!AL385</f>
        <v>SA</v>
      </c>
      <c r="U385">
        <f t="shared" si="5"/>
        <v>0</v>
      </c>
    </row>
    <row r="386" spans="1:21" x14ac:dyDescent="0.25">
      <c r="A386">
        <f>Sheet1!A386</f>
        <v>385</v>
      </c>
      <c r="B386" t="str">
        <f>Sheet1!B386</f>
        <v>BEKASI</v>
      </c>
      <c r="C386" t="str">
        <f>Sheet1!C386</f>
        <v>LAURENT PUTRA</v>
      </c>
      <c r="D386" t="str">
        <f>Sheet1!D386</f>
        <v>ODRNO2607290034</v>
      </c>
      <c r="E386" t="str">
        <f>Sheet1!E386</f>
        <v>811PRS20260705113</v>
      </c>
      <c r="F386" t="str">
        <f>Sheet1!F386</f>
        <v>Sales Agent (SA)</v>
      </c>
      <c r="G386">
        <f>Sheet1!G386</f>
        <v>0</v>
      </c>
      <c r="H386" t="str">
        <f>Sheet1!H386</f>
        <v>811APP20260700167</v>
      </c>
      <c r="I386" t="str">
        <f>Sheet1!I386</f>
        <v>KURNIAWAN ARIBOWO</v>
      </c>
      <c r="J386" s="2">
        <f>Sheet1!K386</f>
        <v>46232.346085613397</v>
      </c>
      <c r="K386" s="2">
        <f>Sheet1!L386</f>
        <v>46233.594654201399</v>
      </c>
      <c r="L386" t="str">
        <f>Sheet1!M386</f>
        <v>Return Handling</v>
      </c>
      <c r="M386" t="str">
        <f>Sheet1!P386</f>
        <v>TOYOTA</v>
      </c>
      <c r="N386" t="str">
        <f>Sheet1!Q386</f>
        <v>2022</v>
      </c>
      <c r="O386">
        <f>Sheet1!AB386</f>
        <v>0</v>
      </c>
      <c r="P386" s="2">
        <f>Sheet1!AD386</f>
        <v>46233</v>
      </c>
      <c r="Q386" t="str">
        <f>Sheet1!AI386</f>
        <v>SANDY ISMAYANA-426017</v>
      </c>
      <c r="R386" t="str">
        <f>Sheet1!AJ386</f>
        <v/>
      </c>
      <c r="S386" t="str">
        <f>Sheet1!AK386</f>
        <v>In Proses</v>
      </c>
      <c r="T386" t="str">
        <f>Sheet1!AL386</f>
        <v>SA</v>
      </c>
      <c r="U386" t="str">
        <f t="shared" si="5"/>
        <v>Done Survey</v>
      </c>
    </row>
    <row r="387" spans="1:21" x14ac:dyDescent="0.25">
      <c r="A387">
        <f>Sheet1!A387</f>
        <v>386</v>
      </c>
      <c r="B387" t="str">
        <f>Sheet1!B387</f>
        <v>BENGKULU</v>
      </c>
      <c r="C387" t="str">
        <f>Sheet1!C387</f>
        <v>mohamad petir syahadha st</v>
      </c>
      <c r="D387" t="str">
        <f>Sheet1!D387</f>
        <v>ODRNO2607290089</v>
      </c>
      <c r="E387" t="str">
        <f>Sheet1!E387</f>
        <v>809PRS20260701350</v>
      </c>
      <c r="F387" t="str">
        <f>Sheet1!F387</f>
        <v>Sales Agent (SA)</v>
      </c>
      <c r="G387">
        <f>Sheet1!G387</f>
        <v>0</v>
      </c>
      <c r="H387">
        <f>Sheet1!H387</f>
        <v>0</v>
      </c>
      <c r="I387" t="str">
        <f>Sheet1!I387</f>
        <v>ADE CHANDRA PANE</v>
      </c>
      <c r="J387" s="2">
        <f>Sheet1!K387</f>
        <v>46232.463058483801</v>
      </c>
      <c r="K387" s="2">
        <f>Sheet1!L387</f>
        <v>46232.469722256901</v>
      </c>
      <c r="L387" t="str">
        <f>Sheet1!M387</f>
        <v>Drop Data by CA</v>
      </c>
      <c r="M387" t="str">
        <f>Sheet1!P387</f>
        <v>TOYOTA</v>
      </c>
      <c r="N387" t="str">
        <f>Sheet1!Q387</f>
        <v>2015</v>
      </c>
      <c r="O387">
        <f>Sheet1!AB387</f>
        <v>0</v>
      </c>
      <c r="P387" s="2">
        <f>Sheet1!AD387</f>
        <v>0</v>
      </c>
      <c r="Q387" t="str">
        <f>Sheet1!AI387</f>
        <v>IMSON SAHRI-126370</v>
      </c>
      <c r="R387" t="str">
        <f>Sheet1!AJ387</f>
        <v/>
      </c>
      <c r="S387" t="str">
        <f>Sheet1!AK387</f>
        <v>Reject</v>
      </c>
      <c r="T387" t="str">
        <f>Sheet1!AL387</f>
        <v>SA</v>
      </c>
      <c r="U387">
        <f t="shared" ref="U387:U450" si="6">IF(H387=0,0,"Done Survey")</f>
        <v>0</v>
      </c>
    </row>
    <row r="388" spans="1:21" x14ac:dyDescent="0.25">
      <c r="A388">
        <f>Sheet1!A388</f>
        <v>387</v>
      </c>
      <c r="B388" t="str">
        <f>Sheet1!B388</f>
        <v>BOGOR</v>
      </c>
      <c r="C388" t="str">
        <f>Sheet1!C388</f>
        <v>asep soviyullah</v>
      </c>
      <c r="D388" t="str">
        <f>Sheet1!D388</f>
        <v>ODRNO2607290223</v>
      </c>
      <c r="E388" t="str">
        <f>Sheet1!E388</f>
        <v>812PRS20260701469</v>
      </c>
      <c r="F388" t="str">
        <f>Sheet1!F388</f>
        <v>Sales Agent (SA)</v>
      </c>
      <c r="G388">
        <f>Sheet1!G388</f>
        <v>0</v>
      </c>
      <c r="H388">
        <f>Sheet1!H388</f>
        <v>0</v>
      </c>
      <c r="I388" t="str">
        <f>Sheet1!I388</f>
        <v>SENJAYA BUDIMAN</v>
      </c>
      <c r="J388" s="2">
        <f>Sheet1!K388</f>
        <v>46232.763357291697</v>
      </c>
      <c r="K388" s="2">
        <f>Sheet1!L388</f>
        <v>46233.403103159697</v>
      </c>
      <c r="L388" t="str">
        <f>Sheet1!M388</f>
        <v>Drop Data by CA</v>
      </c>
      <c r="M388" t="str">
        <f>Sheet1!P388</f>
        <v>TOYOTA</v>
      </c>
      <c r="N388" t="str">
        <f>Sheet1!Q388</f>
        <v>2012</v>
      </c>
      <c r="O388">
        <f>Sheet1!AB388</f>
        <v>0</v>
      </c>
      <c r="P388" s="2">
        <f>Sheet1!AD388</f>
        <v>0</v>
      </c>
      <c r="Q388" t="str">
        <f>Sheet1!AI388</f>
        <v>OKTI DWIYANTI-0726075</v>
      </c>
      <c r="R388" t="str">
        <f>Sheet1!AJ388</f>
        <v/>
      </c>
      <c r="S388" t="str">
        <f>Sheet1!AK388</f>
        <v>Reject</v>
      </c>
      <c r="T388" t="str">
        <f>Sheet1!AL388</f>
        <v>SA</v>
      </c>
      <c r="U388">
        <f t="shared" si="6"/>
        <v>0</v>
      </c>
    </row>
    <row r="389" spans="1:21" x14ac:dyDescent="0.25">
      <c r="A389">
        <f>Sheet1!A389</f>
        <v>388</v>
      </c>
      <c r="B389" t="str">
        <f>Sheet1!B389</f>
        <v>DENPASAR</v>
      </c>
      <c r="C389" t="str">
        <f>Sheet1!C389</f>
        <v>IDA BAGUS MADE SUMARIYASA</v>
      </c>
      <c r="D389" t="str">
        <f>Sheet1!D389</f>
        <v>ODRNO2607290038</v>
      </c>
      <c r="E389" t="str">
        <f>Sheet1!E389</f>
        <v>821PRS20260700804</v>
      </c>
      <c r="F389" t="str">
        <f>Sheet1!F389</f>
        <v>Sales Agent (SA)</v>
      </c>
      <c r="G389">
        <f>Sheet1!G389</f>
        <v>0</v>
      </c>
      <c r="H389">
        <f>Sheet1!H389</f>
        <v>0</v>
      </c>
      <c r="I389" t="str">
        <f>Sheet1!I389</f>
        <v>I MADE BAGUS PUTRA WIRAPASTIKA S I KOM</v>
      </c>
      <c r="J389" s="2">
        <f>Sheet1!K389</f>
        <v>46232.366912580997</v>
      </c>
      <c r="K389" s="2">
        <f>Sheet1!L389</f>
        <v>46232.375101006903</v>
      </c>
      <c r="L389" t="str">
        <f>Sheet1!M389</f>
        <v>Prospect Cancel</v>
      </c>
      <c r="M389" t="str">
        <f>Sheet1!P389</f>
        <v>SUZUKI</v>
      </c>
      <c r="N389" t="str">
        <f>Sheet1!Q389</f>
        <v>2023</v>
      </c>
      <c r="O389">
        <f>Sheet1!AB389</f>
        <v>0</v>
      </c>
      <c r="P389" s="2">
        <f>Sheet1!AD389</f>
        <v>0</v>
      </c>
      <c r="Q389" t="str">
        <f>Sheet1!AI389</f>
        <v>A A GEDE BAGUS PUTRA WIRAWAN-0626024</v>
      </c>
      <c r="R389" t="str">
        <f>Sheet1!AJ389</f>
        <v/>
      </c>
      <c r="S389" t="str">
        <f>Sheet1!AK389</f>
        <v>Cancel</v>
      </c>
      <c r="T389" t="str">
        <f>Sheet1!AL389</f>
        <v>SA</v>
      </c>
      <c r="U389">
        <f t="shared" si="6"/>
        <v>0</v>
      </c>
    </row>
    <row r="390" spans="1:21" x14ac:dyDescent="0.25">
      <c r="A390">
        <f>Sheet1!A390</f>
        <v>389</v>
      </c>
      <c r="B390" t="str">
        <f>Sheet1!B390</f>
        <v>FATMAWATI</v>
      </c>
      <c r="C390" t="str">
        <f>Sheet1!C390</f>
        <v>MEGA WIJAYA</v>
      </c>
      <c r="D390" t="str">
        <f>Sheet1!D390</f>
        <v>ODRNO2607290111</v>
      </c>
      <c r="E390" t="str">
        <f>Sheet1!E390</f>
        <v>802PRS20260702505</v>
      </c>
      <c r="F390" t="str">
        <f>Sheet1!F390</f>
        <v>Sales Agent (SA)</v>
      </c>
      <c r="G390">
        <f>Sheet1!G390</f>
        <v>0</v>
      </c>
      <c r="H390" t="str">
        <f>Sheet1!H390</f>
        <v>802APP20260700076</v>
      </c>
      <c r="I390" t="str">
        <f>Sheet1!I390</f>
        <v>RIZQI APRIANSYAH</v>
      </c>
      <c r="J390" s="2">
        <f>Sheet1!K390</f>
        <v>46232.485527164397</v>
      </c>
      <c r="K390" s="2">
        <f>Sheet1!L390</f>
        <v>46234.673553240696</v>
      </c>
      <c r="L390" t="str">
        <f>Sheet1!M390</f>
        <v>Credit Approval</v>
      </c>
      <c r="M390" t="str">
        <f>Sheet1!P390</f>
        <v>DAIHATSU</v>
      </c>
      <c r="N390" t="str">
        <f>Sheet1!Q390</f>
        <v>2022</v>
      </c>
      <c r="O390">
        <f>Sheet1!AB390</f>
        <v>0</v>
      </c>
      <c r="P390" s="2">
        <f>Sheet1!AD390</f>
        <v>46234</v>
      </c>
      <c r="Q390" t="str">
        <f>Sheet1!AI390</f>
        <v>ANTON BUDIANTO-326068</v>
      </c>
      <c r="R390" t="str">
        <f>Sheet1!AJ390</f>
        <v/>
      </c>
      <c r="S390" t="str">
        <f>Sheet1!AK390</f>
        <v>In Proses</v>
      </c>
      <c r="T390" t="str">
        <f>Sheet1!AL390</f>
        <v>SA</v>
      </c>
      <c r="U390" t="str">
        <f t="shared" si="6"/>
        <v>Done Survey</v>
      </c>
    </row>
    <row r="391" spans="1:21" x14ac:dyDescent="0.25">
      <c r="A391">
        <f>Sheet1!A391</f>
        <v>390</v>
      </c>
      <c r="B391" t="str">
        <f>Sheet1!B391</f>
        <v>FATMAWATI</v>
      </c>
      <c r="C391" t="str">
        <f>Sheet1!C391</f>
        <v>EKO YUDHIANTONO</v>
      </c>
      <c r="D391" t="str">
        <f>Sheet1!D391</f>
        <v>ODRNO2607290126</v>
      </c>
      <c r="E391" t="str">
        <f>Sheet1!E391</f>
        <v>802PRS20260702507</v>
      </c>
      <c r="F391" t="str">
        <f>Sheet1!F391</f>
        <v>Sales Agent (SA)</v>
      </c>
      <c r="G391">
        <f>Sheet1!G391</f>
        <v>0</v>
      </c>
      <c r="H391">
        <f>Sheet1!H391</f>
        <v>0</v>
      </c>
      <c r="I391" t="str">
        <f>Sheet1!I391</f>
        <v>DICKY APRIYADI</v>
      </c>
      <c r="J391" s="2">
        <f>Sheet1!K391</f>
        <v>46232.526436145803</v>
      </c>
      <c r="K391" s="2">
        <f>Sheet1!L391</f>
        <v>46232.535392824102</v>
      </c>
      <c r="L391" t="str">
        <f>Sheet1!M391</f>
        <v>Drop Data by CA</v>
      </c>
      <c r="M391" t="str">
        <f>Sheet1!P391</f>
        <v>TOYOTA</v>
      </c>
      <c r="N391" t="str">
        <f>Sheet1!Q391</f>
        <v>2019</v>
      </c>
      <c r="O391">
        <f>Sheet1!AB391</f>
        <v>0</v>
      </c>
      <c r="P391" s="2">
        <f>Sheet1!AD391</f>
        <v>0</v>
      </c>
      <c r="Q391" t="str">
        <f>Sheet1!AI391</f>
        <v>BAMBANG SETIAWAN-0726050</v>
      </c>
      <c r="R391" t="str">
        <f>Sheet1!AJ391</f>
        <v/>
      </c>
      <c r="S391" t="str">
        <f>Sheet1!AK391</f>
        <v>Reject</v>
      </c>
      <c r="T391" t="str">
        <f>Sheet1!AL391</f>
        <v>SA</v>
      </c>
      <c r="U391">
        <f t="shared" si="6"/>
        <v>0</v>
      </c>
    </row>
    <row r="392" spans="1:21" x14ac:dyDescent="0.25">
      <c r="A392">
        <f>Sheet1!A392</f>
        <v>391</v>
      </c>
      <c r="B392" t="str">
        <f>Sheet1!B392</f>
        <v>FATMAWATI</v>
      </c>
      <c r="C392" t="str">
        <f>Sheet1!C392</f>
        <v>R RAISON SUNDAIS</v>
      </c>
      <c r="D392" t="str">
        <f>Sheet1!D392</f>
        <v>ODRNO2607290131</v>
      </c>
      <c r="E392" t="str">
        <f>Sheet1!E392</f>
        <v>802PRS20260702509</v>
      </c>
      <c r="F392" t="str">
        <f>Sheet1!F392</f>
        <v>Sales Agent (SA)</v>
      </c>
      <c r="G392">
        <f>Sheet1!G392</f>
        <v>0</v>
      </c>
      <c r="H392">
        <f>Sheet1!H392</f>
        <v>0</v>
      </c>
      <c r="I392" t="str">
        <f>Sheet1!I392</f>
        <v>DICKY APRIYADI</v>
      </c>
      <c r="J392" s="2">
        <f>Sheet1!K392</f>
        <v>46232.532513391197</v>
      </c>
      <c r="K392" s="2">
        <f>Sheet1!L392</f>
        <v>46232.538239351903</v>
      </c>
      <c r="L392" t="str">
        <f>Sheet1!M392</f>
        <v>Assignment Survey 1</v>
      </c>
      <c r="M392" t="str">
        <f>Sheet1!P392</f>
        <v>DAIHATSU</v>
      </c>
      <c r="N392" t="str">
        <f>Sheet1!Q392</f>
        <v>2022</v>
      </c>
      <c r="O392">
        <f>Sheet1!AB392</f>
        <v>0</v>
      </c>
      <c r="P392" s="2">
        <f>Sheet1!AD392</f>
        <v>0</v>
      </c>
      <c r="Q392" t="str">
        <f>Sheet1!AI392</f>
        <v>BAMBANG SETIAWAN-0726050</v>
      </c>
      <c r="R392" t="str">
        <f>Sheet1!AJ392</f>
        <v/>
      </c>
      <c r="S392" t="str">
        <f>Sheet1!AK392</f>
        <v>In Proses</v>
      </c>
      <c r="T392" t="str">
        <f>Sheet1!AL392</f>
        <v>SA</v>
      </c>
      <c r="U392">
        <f t="shared" si="6"/>
        <v>0</v>
      </c>
    </row>
    <row r="393" spans="1:21" x14ac:dyDescent="0.25">
      <c r="A393">
        <f>Sheet1!A393</f>
        <v>392</v>
      </c>
      <c r="B393" t="str">
        <f>Sheet1!B393</f>
        <v>KEMAYORAN</v>
      </c>
      <c r="C393" t="str">
        <f>Sheet1!C393</f>
        <v>Jumintri Naura Fitria Mashel</v>
      </c>
      <c r="D393" t="str">
        <f>Sheet1!D393</f>
        <v>ODRNO2607290041</v>
      </c>
      <c r="E393" t="str">
        <f>Sheet1!E393</f>
        <v>801PRS20260700960</v>
      </c>
      <c r="F393" t="str">
        <f>Sheet1!F393</f>
        <v>Sales Agent (SA)</v>
      </c>
      <c r="G393">
        <f>Sheet1!G393</f>
        <v>0</v>
      </c>
      <c r="H393">
        <f>Sheet1!H393</f>
        <v>0</v>
      </c>
      <c r="I393" t="str">
        <f>Sheet1!I393</f>
        <v>MUHAMMAD RIZQY KEMAL</v>
      </c>
      <c r="J393" s="2">
        <f>Sheet1!K393</f>
        <v>46232.370703784698</v>
      </c>
      <c r="K393" s="2">
        <f>Sheet1!L393</f>
        <v>46232.385525034697</v>
      </c>
      <c r="L393" t="str">
        <f>Sheet1!M393</f>
        <v>Drop Data by CA</v>
      </c>
      <c r="M393" t="str">
        <f>Sheet1!P393</f>
        <v>MITSUBISHI</v>
      </c>
      <c r="N393" t="str">
        <f>Sheet1!Q393</f>
        <v>2022</v>
      </c>
      <c r="O393">
        <f>Sheet1!AB393</f>
        <v>0</v>
      </c>
      <c r="P393" s="2">
        <f>Sheet1!AD393</f>
        <v>0</v>
      </c>
      <c r="Q393" t="str">
        <f>Sheet1!AI393</f>
        <v>BANDUNG PRASETYO-0626069</v>
      </c>
      <c r="R393" t="str">
        <f>Sheet1!AJ393</f>
        <v/>
      </c>
      <c r="S393" t="str">
        <f>Sheet1!AK393</f>
        <v>Reject</v>
      </c>
      <c r="T393" t="str">
        <f>Sheet1!AL393</f>
        <v>SA</v>
      </c>
      <c r="U393">
        <f t="shared" si="6"/>
        <v>0</v>
      </c>
    </row>
    <row r="394" spans="1:21" x14ac:dyDescent="0.25">
      <c r="A394">
        <f>Sheet1!A394</f>
        <v>393</v>
      </c>
      <c r="B394" t="str">
        <f>Sheet1!B394</f>
        <v>LAMPUNG</v>
      </c>
      <c r="C394" t="str">
        <f>Sheet1!C394</f>
        <v>aris sarbini ms</v>
      </c>
      <c r="D394" t="str">
        <f>Sheet1!D394</f>
        <v>ODRNO2607290112</v>
      </c>
      <c r="E394" t="str">
        <f>Sheet1!E394</f>
        <v>810PRS20260700752</v>
      </c>
      <c r="F394" t="str">
        <f>Sheet1!F394</f>
        <v>Sales Agent (SA)</v>
      </c>
      <c r="G394">
        <f>Sheet1!G394</f>
        <v>0</v>
      </c>
      <c r="H394">
        <f>Sheet1!H394</f>
        <v>0</v>
      </c>
      <c r="I394" t="str">
        <f>Sheet1!I394</f>
        <v>AZWAN</v>
      </c>
      <c r="J394" s="2">
        <f>Sheet1!K394</f>
        <v>46232.490764699098</v>
      </c>
      <c r="K394" s="2">
        <f>Sheet1!L394</f>
        <v>46232.506987303197</v>
      </c>
      <c r="L394" t="str">
        <f>Sheet1!M394</f>
        <v>Drop Data by CA</v>
      </c>
      <c r="M394" t="str">
        <f>Sheet1!P394</f>
        <v>TOYOTA</v>
      </c>
      <c r="N394" t="str">
        <f>Sheet1!Q394</f>
        <v>2020</v>
      </c>
      <c r="O394">
        <f>Sheet1!AB394</f>
        <v>0</v>
      </c>
      <c r="P394" s="2">
        <f>Sheet1!AD394</f>
        <v>0</v>
      </c>
      <c r="Q394" t="str">
        <f>Sheet1!AI394</f>
        <v>BADILLAH NUR YUNUS-126123</v>
      </c>
      <c r="R394" t="str">
        <f>Sheet1!AJ394</f>
        <v/>
      </c>
      <c r="S394" t="str">
        <f>Sheet1!AK394</f>
        <v>Reject</v>
      </c>
      <c r="T394" t="str">
        <f>Sheet1!AL394</f>
        <v>SA</v>
      </c>
      <c r="U394">
        <f t="shared" si="6"/>
        <v>0</v>
      </c>
    </row>
    <row r="395" spans="1:21" x14ac:dyDescent="0.25">
      <c r="A395">
        <f>Sheet1!A395</f>
        <v>394</v>
      </c>
      <c r="B395" t="str">
        <f>Sheet1!B395</f>
        <v>MEDAN DUA</v>
      </c>
      <c r="C395" t="str">
        <f>Sheet1!C395</f>
        <v>HATMI MARDIYANSYAH</v>
      </c>
      <c r="D395" t="str">
        <f>Sheet1!D395</f>
        <v>ODRNO2607290109</v>
      </c>
      <c r="E395" t="str">
        <f>Sheet1!E395</f>
        <v>839PRS20260700995</v>
      </c>
      <c r="F395" t="str">
        <f>Sheet1!F395</f>
        <v>Sales Agent (SA)</v>
      </c>
      <c r="G395">
        <f>Sheet1!G395</f>
        <v>0</v>
      </c>
      <c r="H395">
        <f>Sheet1!H395</f>
        <v>0</v>
      </c>
      <c r="I395" t="str">
        <f>Sheet1!I395</f>
        <v>WASTO SIHOMBING</v>
      </c>
      <c r="J395" s="2">
        <f>Sheet1!K395</f>
        <v>46232.483283645801</v>
      </c>
      <c r="K395" s="2">
        <f>Sheet1!L395</f>
        <v>46232.500239201399</v>
      </c>
      <c r="L395" t="str">
        <f>Sheet1!M395</f>
        <v>Drop Data by CA</v>
      </c>
      <c r="M395" t="str">
        <f>Sheet1!P395</f>
        <v>TOYOTA</v>
      </c>
      <c r="N395" t="str">
        <f>Sheet1!Q395</f>
        <v>2019</v>
      </c>
      <c r="O395">
        <f>Sheet1!AB395</f>
        <v>0</v>
      </c>
      <c r="P395" s="2">
        <f>Sheet1!AD395</f>
        <v>0</v>
      </c>
      <c r="Q395" t="str">
        <f>Sheet1!AI395</f>
        <v>HERYANTO NABABAN-126406</v>
      </c>
      <c r="R395" t="str">
        <f>Sheet1!AJ395</f>
        <v/>
      </c>
      <c r="S395" t="str">
        <f>Sheet1!AK395</f>
        <v>Reject</v>
      </c>
      <c r="T395" t="str">
        <f>Sheet1!AL395</f>
        <v>SA</v>
      </c>
      <c r="U395">
        <f t="shared" si="6"/>
        <v>0</v>
      </c>
    </row>
    <row r="396" spans="1:21" x14ac:dyDescent="0.25">
      <c r="A396">
        <f>Sheet1!A396</f>
        <v>395</v>
      </c>
      <c r="B396" t="str">
        <f>Sheet1!B396</f>
        <v>PEKANBARU</v>
      </c>
      <c r="C396" t="str">
        <f>Sheet1!C396</f>
        <v>AFRIZAL</v>
      </c>
      <c r="D396" t="str">
        <f>Sheet1!D396</f>
        <v>ODRNO2607290177</v>
      </c>
      <c r="E396" t="str">
        <f>Sheet1!E396</f>
        <v>805PRS20260702874</v>
      </c>
      <c r="F396" t="str">
        <f>Sheet1!F396</f>
        <v>Sales Agent (SA)</v>
      </c>
      <c r="G396">
        <f>Sheet1!G396</f>
        <v>0</v>
      </c>
      <c r="H396">
        <f>Sheet1!H396</f>
        <v>0</v>
      </c>
      <c r="I396" t="str">
        <f>Sheet1!I396</f>
        <v>MUHAMMAD RIDWAN</v>
      </c>
      <c r="J396" s="2">
        <f>Sheet1!K396</f>
        <v>46232.630150463003</v>
      </c>
      <c r="K396" s="2">
        <f>Sheet1!L396</f>
        <v>46232.635845914403</v>
      </c>
      <c r="L396" t="str">
        <f>Sheet1!M396</f>
        <v>Drop Data by CA</v>
      </c>
      <c r="M396" t="str">
        <f>Sheet1!P396</f>
        <v>DAIHATSU</v>
      </c>
      <c r="N396" t="str">
        <f>Sheet1!Q396</f>
        <v>2018</v>
      </c>
      <c r="O396">
        <f>Sheet1!AB396</f>
        <v>0</v>
      </c>
      <c r="P396" s="2">
        <f>Sheet1!AD396</f>
        <v>0</v>
      </c>
      <c r="Q396" t="str">
        <f>Sheet1!AI396</f>
        <v>MUHAMMAD RAMLI-226112</v>
      </c>
      <c r="R396" t="str">
        <f>Sheet1!AJ396</f>
        <v/>
      </c>
      <c r="S396" t="str">
        <f>Sheet1!AK396</f>
        <v>Reject</v>
      </c>
      <c r="T396" t="str">
        <f>Sheet1!AL396</f>
        <v>SA</v>
      </c>
      <c r="U396">
        <f t="shared" si="6"/>
        <v>0</v>
      </c>
    </row>
    <row r="397" spans="1:21" x14ac:dyDescent="0.25">
      <c r="A397">
        <f>Sheet1!A397</f>
        <v>396</v>
      </c>
      <c r="B397" t="str">
        <f>Sheet1!B397</f>
        <v>SUKABUMI</v>
      </c>
      <c r="C397" t="str">
        <f>Sheet1!C397</f>
        <v>rina angelina</v>
      </c>
      <c r="D397" t="str">
        <f>Sheet1!D397</f>
        <v>ODRNO2607290194</v>
      </c>
      <c r="E397" t="str">
        <f>Sheet1!E397</f>
        <v>841PRS20260701276</v>
      </c>
      <c r="F397" t="str">
        <f>Sheet1!F397</f>
        <v>Sales Agent (SA)</v>
      </c>
      <c r="G397">
        <f>Sheet1!G397</f>
        <v>0</v>
      </c>
      <c r="H397">
        <f>Sheet1!H397</f>
        <v>0</v>
      </c>
      <c r="I397" t="str">
        <f>Sheet1!I397</f>
        <v>BAYU SAPUTRA</v>
      </c>
      <c r="J397" s="2">
        <f>Sheet1!K397</f>
        <v>46232.662690740697</v>
      </c>
      <c r="K397" s="2">
        <f>Sheet1!L397</f>
        <v>46232.670616550902</v>
      </c>
      <c r="L397" t="str">
        <f>Sheet1!M397</f>
        <v>Drop Data by CA</v>
      </c>
      <c r="M397" t="str">
        <f>Sheet1!P397</f>
        <v>TOYOTA</v>
      </c>
      <c r="N397" t="str">
        <f>Sheet1!Q397</f>
        <v>2014</v>
      </c>
      <c r="O397">
        <f>Sheet1!AB397</f>
        <v>0</v>
      </c>
      <c r="P397" s="2">
        <f>Sheet1!AD397</f>
        <v>0</v>
      </c>
      <c r="Q397" t="str">
        <f>Sheet1!AI397</f>
        <v>A A GEDE BAGUS PUTRA WIRAWAN-0626024</v>
      </c>
      <c r="R397" t="str">
        <f>Sheet1!AJ397</f>
        <v/>
      </c>
      <c r="S397" t="str">
        <f>Sheet1!AK397</f>
        <v>Reject</v>
      </c>
      <c r="T397" t="str">
        <f>Sheet1!AL397</f>
        <v>SA</v>
      </c>
      <c r="U397">
        <f t="shared" si="6"/>
        <v>0</v>
      </c>
    </row>
    <row r="398" spans="1:21" x14ac:dyDescent="0.25">
      <c r="A398">
        <f>Sheet1!A398</f>
        <v>397</v>
      </c>
      <c r="B398" t="str">
        <f>Sheet1!B398</f>
        <v>SURABAYA SATU</v>
      </c>
      <c r="C398" t="str">
        <f>Sheet1!C398</f>
        <v>arthario akbar seputra</v>
      </c>
      <c r="D398" t="str">
        <f>Sheet1!D398</f>
        <v>ODRNO2607290005</v>
      </c>
      <c r="E398" t="str">
        <f>Sheet1!E398</f>
        <v>819PRS20260701079</v>
      </c>
      <c r="F398" t="str">
        <f>Sheet1!F398</f>
        <v>Sales Agent (SA)</v>
      </c>
      <c r="G398">
        <f>Sheet1!G398</f>
        <v>0</v>
      </c>
      <c r="H398">
        <f>Sheet1!H398</f>
        <v>0</v>
      </c>
      <c r="I398" t="str">
        <f>Sheet1!I398</f>
        <v>PONDRA PUJIONO</v>
      </c>
      <c r="J398" s="2">
        <f>Sheet1!K398</f>
        <v>46232.137472766197</v>
      </c>
      <c r="K398" s="2">
        <f>Sheet1!L398</f>
        <v>46232.303854895799</v>
      </c>
      <c r="L398" t="str">
        <f>Sheet1!M398</f>
        <v>Drop Data by CA</v>
      </c>
      <c r="M398" t="str">
        <f>Sheet1!P398</f>
        <v>TOYOTA</v>
      </c>
      <c r="N398" t="str">
        <f>Sheet1!Q398</f>
        <v>2019</v>
      </c>
      <c r="O398">
        <f>Sheet1!AB398</f>
        <v>0</v>
      </c>
      <c r="P398" s="2">
        <f>Sheet1!AD398</f>
        <v>0</v>
      </c>
      <c r="Q398" t="str">
        <f>Sheet1!AI398</f>
        <v>RYAN ADHI TRIATMAJA-126275</v>
      </c>
      <c r="R398" t="str">
        <f>Sheet1!AJ398</f>
        <v/>
      </c>
      <c r="S398" t="str">
        <f>Sheet1!AK398</f>
        <v>Reject</v>
      </c>
      <c r="T398" t="str">
        <f>Sheet1!AL398</f>
        <v>SA</v>
      </c>
      <c r="U398">
        <f t="shared" si="6"/>
        <v>0</v>
      </c>
    </row>
    <row r="399" spans="1:21" x14ac:dyDescent="0.25">
      <c r="A399">
        <f>Sheet1!A399</f>
        <v>398</v>
      </c>
      <c r="B399" t="str">
        <f>Sheet1!B399</f>
        <v>SURABAYA SATU</v>
      </c>
      <c r="C399" t="str">
        <f>Sheet1!C399</f>
        <v>sri sedhono</v>
      </c>
      <c r="D399" t="str">
        <f>Sheet1!D399</f>
        <v>ODRNO2607290134</v>
      </c>
      <c r="E399" t="str">
        <f>Sheet1!E399</f>
        <v>819PRS20260701080</v>
      </c>
      <c r="F399" t="str">
        <f>Sheet1!F399</f>
        <v>Sales Agent (SA)</v>
      </c>
      <c r="G399">
        <f>Sheet1!G399</f>
        <v>0</v>
      </c>
      <c r="H399">
        <f>Sheet1!H399</f>
        <v>0</v>
      </c>
      <c r="I399" t="str">
        <f>Sheet1!I399</f>
        <v>PONDRA PUJIONO</v>
      </c>
      <c r="J399" s="2">
        <f>Sheet1!K399</f>
        <v>46232.540835613399</v>
      </c>
      <c r="K399" s="2">
        <f>Sheet1!L399</f>
        <v>46232.595698067104</v>
      </c>
      <c r="L399" t="str">
        <f>Sheet1!M399</f>
        <v>Assignment Survey 1</v>
      </c>
      <c r="M399" t="str">
        <f>Sheet1!P399</f>
        <v>TOYOTA</v>
      </c>
      <c r="N399" t="str">
        <f>Sheet1!Q399</f>
        <v>2023</v>
      </c>
      <c r="O399">
        <f>Sheet1!AB399</f>
        <v>0</v>
      </c>
      <c r="P399" s="2">
        <f>Sheet1!AD399</f>
        <v>0</v>
      </c>
      <c r="Q399" t="str">
        <f>Sheet1!AI399</f>
        <v>SARANITA KENCANA SARI-126043</v>
      </c>
      <c r="R399" t="str">
        <f>Sheet1!AJ399</f>
        <v/>
      </c>
      <c r="S399" t="str">
        <f>Sheet1!AK399</f>
        <v>In Proses</v>
      </c>
      <c r="T399" t="str">
        <f>Sheet1!AL399</f>
        <v>SA</v>
      </c>
      <c r="U399">
        <f t="shared" si="6"/>
        <v>0</v>
      </c>
    </row>
    <row r="400" spans="1:21" x14ac:dyDescent="0.25">
      <c r="A400">
        <f>Sheet1!A400</f>
        <v>399</v>
      </c>
      <c r="B400" t="str">
        <f>Sheet1!B400</f>
        <v>YOGYAKARTA</v>
      </c>
      <c r="C400" t="str">
        <f>Sheet1!C400</f>
        <v>WAHYU ANGGARA</v>
      </c>
      <c r="D400" t="str">
        <f>Sheet1!D400</f>
        <v>ODRNO2607290065</v>
      </c>
      <c r="E400" t="str">
        <f>Sheet1!E400</f>
        <v>834PRS20260700862</v>
      </c>
      <c r="F400" t="str">
        <f>Sheet1!F400</f>
        <v>Sales Agent (SA)</v>
      </c>
      <c r="G400">
        <f>Sheet1!G400</f>
        <v>0</v>
      </c>
      <c r="H400">
        <f>Sheet1!H400</f>
        <v>0</v>
      </c>
      <c r="I400" t="str">
        <f>Sheet1!I400</f>
        <v>SOFYAN BAYU SAIFULLOH</v>
      </c>
      <c r="J400" s="2">
        <f>Sheet1!K400</f>
        <v>46232.434686423599</v>
      </c>
      <c r="K400" s="2">
        <f>Sheet1!L400</f>
        <v>46232.448135381899</v>
      </c>
      <c r="L400" t="str">
        <f>Sheet1!M400</f>
        <v>Drop Data by CA</v>
      </c>
      <c r="M400" t="str">
        <f>Sheet1!P400</f>
        <v>DATSUN</v>
      </c>
      <c r="N400" t="str">
        <f>Sheet1!Q400</f>
        <v>2014</v>
      </c>
      <c r="O400">
        <f>Sheet1!AB400</f>
        <v>0</v>
      </c>
      <c r="P400" s="2">
        <f>Sheet1!AD400</f>
        <v>0</v>
      </c>
      <c r="Q400" t="str">
        <f>Sheet1!AI400</f>
        <v>ALIF APRI HANSYAH-226174</v>
      </c>
      <c r="R400" t="str">
        <f>Sheet1!AJ400</f>
        <v/>
      </c>
      <c r="S400" t="str">
        <f>Sheet1!AK400</f>
        <v>Reject</v>
      </c>
      <c r="T400" t="str">
        <f>Sheet1!AL400</f>
        <v>SA</v>
      </c>
      <c r="U400">
        <f t="shared" si="6"/>
        <v>0</v>
      </c>
    </row>
    <row r="401" spans="1:21" x14ac:dyDescent="0.25">
      <c r="A401">
        <f>Sheet1!A401</f>
        <v>400</v>
      </c>
      <c r="B401" t="str">
        <f>Sheet1!B401</f>
        <v>YOGYAKARTA</v>
      </c>
      <c r="C401" t="str">
        <f>Sheet1!C401</f>
        <v>BAMBANG SUTOPO</v>
      </c>
      <c r="D401" t="str">
        <f>Sheet1!D401</f>
        <v>ODRNO2607290156</v>
      </c>
      <c r="E401" t="str">
        <f>Sheet1!E401</f>
        <v>834PRS20260700863</v>
      </c>
      <c r="F401" t="str">
        <f>Sheet1!F401</f>
        <v>LandingPage</v>
      </c>
      <c r="G401">
        <f>Sheet1!G401</f>
        <v>0</v>
      </c>
      <c r="H401">
        <f>Sheet1!H401</f>
        <v>0</v>
      </c>
      <c r="I401" t="str">
        <f>Sheet1!I401</f>
        <v>SOFYAN BAYU SAIFULLOH</v>
      </c>
      <c r="J401" s="2">
        <f>Sheet1!K401</f>
        <v>46232.589330555602</v>
      </c>
      <c r="K401" s="2">
        <f>Sheet1!L401</f>
        <v>46232.594126388904</v>
      </c>
      <c r="L401" t="str">
        <f>Sheet1!M401</f>
        <v>Drop Data by CA</v>
      </c>
      <c r="M401" t="str">
        <f>Sheet1!P401</f>
        <v>HONDA</v>
      </c>
      <c r="N401" t="str">
        <f>Sheet1!Q401</f>
        <v>2014</v>
      </c>
      <c r="O401">
        <f>Sheet1!AB401</f>
        <v>0</v>
      </c>
      <c r="P401" s="2">
        <f>Sheet1!AD401</f>
        <v>0</v>
      </c>
      <c r="Q401">
        <f>Sheet1!AI401</f>
        <v>0</v>
      </c>
      <c r="R401">
        <f>Sheet1!AJ401</f>
        <v>0</v>
      </c>
      <c r="S401" t="str">
        <f>Sheet1!AK401</f>
        <v>Reject</v>
      </c>
      <c r="T401" t="str">
        <f>Sheet1!AL401</f>
        <v>SA</v>
      </c>
      <c r="U401">
        <f t="shared" si="6"/>
        <v>0</v>
      </c>
    </row>
    <row r="402" spans="1:21" x14ac:dyDescent="0.25">
      <c r="A402">
        <f>Sheet1!A402</f>
        <v>401</v>
      </c>
      <c r="B402" t="str">
        <f>Sheet1!B402</f>
        <v>ALAM SUTERA</v>
      </c>
      <c r="C402" t="str">
        <f>Sheet1!C402</f>
        <v>DAMANHURI</v>
      </c>
      <c r="D402" t="str">
        <f>Sheet1!D402</f>
        <v>ODRNO2607300083</v>
      </c>
      <c r="E402" t="str">
        <f>Sheet1!E402</f>
        <v>838PRS20260702746</v>
      </c>
      <c r="F402" t="str">
        <f>Sheet1!F402</f>
        <v>Sales Agent (SA)</v>
      </c>
      <c r="G402">
        <f>Sheet1!G402</f>
        <v>0</v>
      </c>
      <c r="H402">
        <f>Sheet1!H402</f>
        <v>0</v>
      </c>
      <c r="I402" t="str">
        <f>Sheet1!I402</f>
        <v>IBRAHIM AZIZ</v>
      </c>
      <c r="J402" s="2">
        <f>Sheet1!K402</f>
        <v>46233.4949934838</v>
      </c>
      <c r="K402" s="2">
        <f>Sheet1!L402</f>
        <v>46233.504193402798</v>
      </c>
      <c r="L402" t="str">
        <f>Sheet1!M402</f>
        <v>Drop Data by CA</v>
      </c>
      <c r="M402" t="str">
        <f>Sheet1!P402</f>
        <v>SUZUKI</v>
      </c>
      <c r="N402" t="str">
        <f>Sheet1!Q402</f>
        <v>2017</v>
      </c>
      <c r="O402">
        <f>Sheet1!AB402</f>
        <v>0</v>
      </c>
      <c r="P402" s="2">
        <f>Sheet1!AD402</f>
        <v>0</v>
      </c>
      <c r="Q402" t="str">
        <f>Sheet1!AI402</f>
        <v>DONNIE PRASTIYO-526010</v>
      </c>
      <c r="R402" t="str">
        <f>Sheet1!AJ402</f>
        <v/>
      </c>
      <c r="S402" t="str">
        <f>Sheet1!AK402</f>
        <v>Reject</v>
      </c>
      <c r="T402" t="str">
        <f>Sheet1!AL402</f>
        <v>SA</v>
      </c>
      <c r="U402">
        <f t="shared" si="6"/>
        <v>0</v>
      </c>
    </row>
    <row r="403" spans="1:21" x14ac:dyDescent="0.25">
      <c r="A403">
        <f>Sheet1!A403</f>
        <v>402</v>
      </c>
      <c r="B403" t="str">
        <f>Sheet1!B403</f>
        <v>BALIKPAPAN</v>
      </c>
      <c r="C403" t="str">
        <f>Sheet1!C403</f>
        <v>STEVANO ADRIAN</v>
      </c>
      <c r="D403" t="str">
        <f>Sheet1!D403</f>
        <v>ODRNO2607300036</v>
      </c>
      <c r="E403" t="str">
        <f>Sheet1!E403</f>
        <v>824PRS20260700752</v>
      </c>
      <c r="F403" t="str">
        <f>Sheet1!F403</f>
        <v>LandingPage</v>
      </c>
      <c r="G403">
        <f>Sheet1!G403</f>
        <v>0</v>
      </c>
      <c r="H403">
        <f>Sheet1!H403</f>
        <v>0</v>
      </c>
      <c r="I403" t="str">
        <f>Sheet1!I403</f>
        <v>YUDHISTIRA PUTRA MARENTEK</v>
      </c>
      <c r="J403" s="2">
        <f>Sheet1!K403</f>
        <v>46233.4098395486</v>
      </c>
      <c r="K403" s="2">
        <f>Sheet1!L403</f>
        <v>46233.427890243103</v>
      </c>
      <c r="L403" t="str">
        <f>Sheet1!M403</f>
        <v>Drop Data by CA</v>
      </c>
      <c r="M403" t="str">
        <f>Sheet1!P403</f>
        <v>DAIHATSU</v>
      </c>
      <c r="N403" t="str">
        <f>Sheet1!Q403</f>
        <v>2019</v>
      </c>
      <c r="O403">
        <f>Sheet1!AB403</f>
        <v>0</v>
      </c>
      <c r="P403" s="2">
        <f>Sheet1!AD403</f>
        <v>0</v>
      </c>
      <c r="Q403">
        <f>Sheet1!AI403</f>
        <v>0</v>
      </c>
      <c r="R403">
        <f>Sheet1!AJ403</f>
        <v>0</v>
      </c>
      <c r="S403" t="str">
        <f>Sheet1!AK403</f>
        <v>Reject</v>
      </c>
      <c r="T403" t="str">
        <f>Sheet1!AL403</f>
        <v>SA</v>
      </c>
      <c r="U403">
        <f t="shared" si="6"/>
        <v>0</v>
      </c>
    </row>
    <row r="404" spans="1:21" x14ac:dyDescent="0.25">
      <c r="A404">
        <f>Sheet1!A404</f>
        <v>403</v>
      </c>
      <c r="B404" t="str">
        <f>Sheet1!B404</f>
        <v>BANDUNG</v>
      </c>
      <c r="C404" t="str">
        <f>Sheet1!C404</f>
        <v>Didi</v>
      </c>
      <c r="D404" t="str">
        <f>Sheet1!D404</f>
        <v>ODRNO2607300049</v>
      </c>
      <c r="E404" t="str">
        <f>Sheet1!E404</f>
        <v>813PRS20260705747</v>
      </c>
      <c r="F404" t="str">
        <f>Sheet1!F404</f>
        <v>Sales Agent (SA)</v>
      </c>
      <c r="G404">
        <f>Sheet1!G404</f>
        <v>0</v>
      </c>
      <c r="H404" t="str">
        <f>Sheet1!H404</f>
        <v>813APP20260700161</v>
      </c>
      <c r="I404" t="str">
        <f>Sheet1!I404</f>
        <v>RISKI DALNI</v>
      </c>
      <c r="J404" s="2">
        <f>Sheet1!K404</f>
        <v>46233.430986921303</v>
      </c>
      <c r="K404" s="2">
        <f>Sheet1!L404</f>
        <v>46234.417620798602</v>
      </c>
      <c r="L404" t="str">
        <f>Sheet1!M404</f>
        <v>New NAP</v>
      </c>
      <c r="M404" t="str">
        <f>Sheet1!P404</f>
        <v>TOYOTA</v>
      </c>
      <c r="N404" t="str">
        <f>Sheet1!Q404</f>
        <v>2013</v>
      </c>
      <c r="O404">
        <f>Sheet1!AB404</f>
        <v>0</v>
      </c>
      <c r="P404" s="2">
        <f>Sheet1!AD404</f>
        <v>46234</v>
      </c>
      <c r="Q404" t="str">
        <f>Sheet1!AI404</f>
        <v>ANTON SURYA DININGRAT-126084</v>
      </c>
      <c r="R404" t="str">
        <f>Sheet1!AJ404</f>
        <v/>
      </c>
      <c r="S404" t="str">
        <f>Sheet1!AK404</f>
        <v>Backlog</v>
      </c>
      <c r="T404" t="str">
        <f>Sheet1!AL404</f>
        <v>SA</v>
      </c>
      <c r="U404" t="str">
        <f t="shared" si="6"/>
        <v>Done Survey</v>
      </c>
    </row>
    <row r="405" spans="1:21" x14ac:dyDescent="0.25">
      <c r="A405">
        <f>Sheet1!A405</f>
        <v>404</v>
      </c>
      <c r="B405" t="str">
        <f>Sheet1!B405</f>
        <v>BANDUNG</v>
      </c>
      <c r="C405" t="str">
        <f>Sheet1!C405</f>
        <v>Rafid Rizqulloh</v>
      </c>
      <c r="D405" t="str">
        <f>Sheet1!D405</f>
        <v>ODRNO2607300057</v>
      </c>
      <c r="E405" t="str">
        <f>Sheet1!E405</f>
        <v>813PRS20260705750</v>
      </c>
      <c r="F405" t="str">
        <f>Sheet1!F405</f>
        <v>Sales Agent (SA)</v>
      </c>
      <c r="G405">
        <f>Sheet1!G405</f>
        <v>0</v>
      </c>
      <c r="H405">
        <f>Sheet1!H405</f>
        <v>0</v>
      </c>
      <c r="I405" t="str">
        <f>Sheet1!I405</f>
        <v>RISKI DALNI</v>
      </c>
      <c r="J405" s="2">
        <f>Sheet1!K405</f>
        <v>46233.438154780102</v>
      </c>
      <c r="K405" s="2">
        <f>Sheet1!L405</f>
        <v>46233.448912071799</v>
      </c>
      <c r="L405" t="str">
        <f>Sheet1!M405</f>
        <v>Drop Data by CA</v>
      </c>
      <c r="M405" t="str">
        <f>Sheet1!P405</f>
        <v>DAIHATSU</v>
      </c>
      <c r="N405" t="str">
        <f>Sheet1!Q405</f>
        <v>2013</v>
      </c>
      <c r="O405">
        <f>Sheet1!AB405</f>
        <v>0</v>
      </c>
      <c r="P405" s="2">
        <f>Sheet1!AD405</f>
        <v>0</v>
      </c>
      <c r="Q405" t="str">
        <f>Sheet1!AI405</f>
        <v>DEJAN AGUSTINA-0726092</v>
      </c>
      <c r="R405" t="str">
        <f>Sheet1!AJ405</f>
        <v/>
      </c>
      <c r="S405" t="str">
        <f>Sheet1!AK405</f>
        <v>Reject</v>
      </c>
      <c r="T405" t="str">
        <f>Sheet1!AL405</f>
        <v>SA</v>
      </c>
      <c r="U405">
        <f t="shared" si="6"/>
        <v>0</v>
      </c>
    </row>
    <row r="406" spans="1:21" x14ac:dyDescent="0.25">
      <c r="A406">
        <f>Sheet1!A406</f>
        <v>405</v>
      </c>
      <c r="B406" t="str">
        <f>Sheet1!B406</f>
        <v>BATAM</v>
      </c>
      <c r="C406" t="str">
        <f>Sheet1!C406</f>
        <v>januarita ulyartha</v>
      </c>
      <c r="D406" t="str">
        <f>Sheet1!D406</f>
        <v>ODRNO2607300022</v>
      </c>
      <c r="E406" t="str">
        <f>Sheet1!E406</f>
        <v>806PRS20260702340</v>
      </c>
      <c r="F406" t="str">
        <f>Sheet1!F406</f>
        <v>Sales Agent (SA)</v>
      </c>
      <c r="G406">
        <f>Sheet1!G406</f>
        <v>0</v>
      </c>
      <c r="H406">
        <f>Sheet1!H406</f>
        <v>0</v>
      </c>
      <c r="I406" t="str">
        <f>Sheet1!I406</f>
        <v>WELLY PRIMA SANDI</v>
      </c>
      <c r="J406" s="2">
        <f>Sheet1!K406</f>
        <v>46233.376469675903</v>
      </c>
      <c r="K406" s="2">
        <f>Sheet1!L406</f>
        <v>46233.382060497701</v>
      </c>
      <c r="L406" t="str">
        <f>Sheet1!M406</f>
        <v>Drop Data by CA</v>
      </c>
      <c r="M406" t="str">
        <f>Sheet1!P406</f>
        <v>SUZUKI</v>
      </c>
      <c r="N406" t="str">
        <f>Sheet1!Q406</f>
        <v>2015</v>
      </c>
      <c r="O406">
        <f>Sheet1!AB406</f>
        <v>0</v>
      </c>
      <c r="P406" s="2">
        <f>Sheet1!AD406</f>
        <v>0</v>
      </c>
      <c r="Q406" t="str">
        <f>Sheet1!AI406</f>
        <v>PRAMA OVRI ANDI SAPUTRA-0726059</v>
      </c>
      <c r="R406" t="str">
        <f>Sheet1!AJ406</f>
        <v/>
      </c>
      <c r="S406" t="str">
        <f>Sheet1!AK406</f>
        <v>Reject</v>
      </c>
      <c r="T406" t="str">
        <f>Sheet1!AL406</f>
        <v>SA</v>
      </c>
      <c r="U406">
        <f t="shared" si="6"/>
        <v>0</v>
      </c>
    </row>
    <row r="407" spans="1:21" x14ac:dyDescent="0.25">
      <c r="A407">
        <f>Sheet1!A407</f>
        <v>406</v>
      </c>
      <c r="B407" t="str">
        <f>Sheet1!B407</f>
        <v>BELITUNG</v>
      </c>
      <c r="C407" t="str">
        <f>Sheet1!C407</f>
        <v>SUSANTO</v>
      </c>
      <c r="D407" t="str">
        <f>Sheet1!D407</f>
        <v>ODRNO2607300132</v>
      </c>
      <c r="E407" t="str">
        <f>Sheet1!E407</f>
        <v>837PRS20260700122</v>
      </c>
      <c r="F407" t="str">
        <f>Sheet1!F407</f>
        <v>Sales Agent (SA)</v>
      </c>
      <c r="G407">
        <f>Sheet1!G407</f>
        <v>0</v>
      </c>
      <c r="H407">
        <f>Sheet1!H407</f>
        <v>0</v>
      </c>
      <c r="I407" t="str">
        <f>Sheet1!I407</f>
        <v>LISDEWATI BR SIMBOLON</v>
      </c>
      <c r="J407" s="2">
        <f>Sheet1!K407</f>
        <v>46233.624410613404</v>
      </c>
      <c r="K407" s="2">
        <f>Sheet1!L407</f>
        <v>46233.628523645799</v>
      </c>
      <c r="L407" t="str">
        <f>Sheet1!M407</f>
        <v>Assignment Survey 1</v>
      </c>
      <c r="M407" t="str">
        <f>Sheet1!P407</f>
        <v>MITSUBISHI</v>
      </c>
      <c r="N407" t="str">
        <f>Sheet1!Q407</f>
        <v>2018</v>
      </c>
      <c r="O407">
        <f>Sheet1!AB407</f>
        <v>0</v>
      </c>
      <c r="P407" s="2">
        <f>Sheet1!AD407</f>
        <v>0</v>
      </c>
      <c r="Q407" t="str">
        <f>Sheet1!AI407</f>
        <v>ROSALIA CHAIRUN NISYA-0726097</v>
      </c>
      <c r="R407" t="str">
        <f>Sheet1!AJ407</f>
        <v/>
      </c>
      <c r="S407" t="str">
        <f>Sheet1!AK407</f>
        <v>In Proses</v>
      </c>
      <c r="T407" t="str">
        <f>Sheet1!AL407</f>
        <v>SA</v>
      </c>
      <c r="U407">
        <f t="shared" si="6"/>
        <v>0</v>
      </c>
    </row>
    <row r="408" spans="1:21" x14ac:dyDescent="0.25">
      <c r="A408">
        <f>Sheet1!A408</f>
        <v>407</v>
      </c>
      <c r="B408" t="str">
        <f>Sheet1!B408</f>
        <v>BENGKULU</v>
      </c>
      <c r="C408" t="str">
        <f>Sheet1!C408</f>
        <v>ego miko purwanto</v>
      </c>
      <c r="D408" t="str">
        <f>Sheet1!D408</f>
        <v>ODRNO2607300033</v>
      </c>
      <c r="E408" t="str">
        <f>Sheet1!E408</f>
        <v>809PRS20260701355</v>
      </c>
      <c r="F408" t="str">
        <f>Sheet1!F408</f>
        <v>Sales Agent (SA)</v>
      </c>
      <c r="G408">
        <f>Sheet1!G408</f>
        <v>0</v>
      </c>
      <c r="H408">
        <f>Sheet1!H408</f>
        <v>0</v>
      </c>
      <c r="I408" t="str">
        <f>Sheet1!I408</f>
        <v>ADE CHANDRA PANE</v>
      </c>
      <c r="J408" s="2">
        <f>Sheet1!K408</f>
        <v>46233.4074580671</v>
      </c>
      <c r="K408" s="2">
        <f>Sheet1!L408</f>
        <v>46233.427869560197</v>
      </c>
      <c r="L408" t="str">
        <f>Sheet1!M408</f>
        <v>Drop Data by CA</v>
      </c>
      <c r="M408" t="str">
        <f>Sheet1!P408</f>
        <v>TOYOTA</v>
      </c>
      <c r="N408" t="str">
        <f>Sheet1!Q408</f>
        <v>2016</v>
      </c>
      <c r="O408">
        <f>Sheet1!AB408</f>
        <v>0</v>
      </c>
      <c r="P408" s="2">
        <f>Sheet1!AD408</f>
        <v>0</v>
      </c>
      <c r="Q408" t="str">
        <f>Sheet1!AI408</f>
        <v>IMSON SAHRI-126370</v>
      </c>
      <c r="R408" t="str">
        <f>Sheet1!AJ408</f>
        <v/>
      </c>
      <c r="S408" t="str">
        <f>Sheet1!AK408</f>
        <v>Reject</v>
      </c>
      <c r="T408" t="str">
        <f>Sheet1!AL408</f>
        <v>SA</v>
      </c>
      <c r="U408">
        <f t="shared" si="6"/>
        <v>0</v>
      </c>
    </row>
    <row r="409" spans="1:21" x14ac:dyDescent="0.25">
      <c r="A409">
        <f>Sheet1!A409</f>
        <v>408</v>
      </c>
      <c r="B409" t="str">
        <f>Sheet1!B409</f>
        <v>BENGKULU</v>
      </c>
      <c r="C409" t="str">
        <f>Sheet1!C409</f>
        <v>janatul hakim</v>
      </c>
      <c r="D409" t="str">
        <f>Sheet1!D409</f>
        <v>ODRNO2607300156</v>
      </c>
      <c r="E409" t="str">
        <f>Sheet1!E409</f>
        <v>809PRS20260701359</v>
      </c>
      <c r="F409" t="str">
        <f>Sheet1!F409</f>
        <v>Sales Agent (SA)</v>
      </c>
      <c r="G409">
        <f>Sheet1!G409</f>
        <v>0</v>
      </c>
      <c r="H409">
        <f>Sheet1!H409</f>
        <v>0</v>
      </c>
      <c r="I409" t="str">
        <f>Sheet1!I409</f>
        <v>ADE CHANDRA PANE</v>
      </c>
      <c r="J409" s="2">
        <f>Sheet1!K409</f>
        <v>46233.7135061343</v>
      </c>
      <c r="K409" s="2">
        <f>Sheet1!L409</f>
        <v>46233.719192627301</v>
      </c>
      <c r="L409" t="str">
        <f>Sheet1!M409</f>
        <v>Assignment Survey 1</v>
      </c>
      <c r="M409" t="str">
        <f>Sheet1!P409</f>
        <v>DAIHATSU</v>
      </c>
      <c r="N409" t="str">
        <f>Sheet1!Q409</f>
        <v>2016</v>
      </c>
      <c r="O409">
        <f>Sheet1!AB409</f>
        <v>0</v>
      </c>
      <c r="P409" s="2">
        <f>Sheet1!AD409</f>
        <v>0</v>
      </c>
      <c r="Q409" t="str">
        <f>Sheet1!AI409</f>
        <v>IMSON SAHRI-126370</v>
      </c>
      <c r="R409" t="str">
        <f>Sheet1!AJ409</f>
        <v/>
      </c>
      <c r="S409" t="str">
        <f>Sheet1!AK409</f>
        <v>In Proses</v>
      </c>
      <c r="T409" t="str">
        <f>Sheet1!AL409</f>
        <v>SA</v>
      </c>
      <c r="U409">
        <f t="shared" si="6"/>
        <v>0</v>
      </c>
    </row>
    <row r="410" spans="1:21" x14ac:dyDescent="0.25">
      <c r="A410">
        <f>Sheet1!A410</f>
        <v>409</v>
      </c>
      <c r="B410" t="str">
        <f>Sheet1!B410</f>
        <v>FATMAWATI</v>
      </c>
      <c r="C410" t="str">
        <f>Sheet1!C410</f>
        <v>DAMIS</v>
      </c>
      <c r="D410" t="str">
        <f>Sheet1!D410</f>
        <v>ODRNO2607300042</v>
      </c>
      <c r="E410" t="str">
        <f>Sheet1!E410</f>
        <v>802PRS20260702517</v>
      </c>
      <c r="F410" t="str">
        <f>Sheet1!F410</f>
        <v>Sales Agent (SA)</v>
      </c>
      <c r="G410">
        <f>Sheet1!G410</f>
        <v>0</v>
      </c>
      <c r="H410">
        <f>Sheet1!H410</f>
        <v>0</v>
      </c>
      <c r="I410" t="str">
        <f>Sheet1!I410</f>
        <v>RIZQI APRIANSYAH</v>
      </c>
      <c r="J410" s="2">
        <f>Sheet1!K410</f>
        <v>46233.416559837999</v>
      </c>
      <c r="K410" s="2">
        <f>Sheet1!L410</f>
        <v>46233.434864965297</v>
      </c>
      <c r="L410" t="str">
        <f>Sheet1!M410</f>
        <v>Must Edit Prospect on Confins</v>
      </c>
      <c r="M410" t="str">
        <f>Sheet1!P410</f>
        <v>TOYOTA</v>
      </c>
      <c r="N410" t="str">
        <f>Sheet1!Q410</f>
        <v>2018</v>
      </c>
      <c r="O410">
        <f>Sheet1!AB410</f>
        <v>0</v>
      </c>
      <c r="P410" s="2">
        <f>Sheet1!AD410</f>
        <v>0</v>
      </c>
      <c r="Q410" t="str">
        <f>Sheet1!AI410</f>
        <v>EKO SULISTYO UTOMO-0726087</v>
      </c>
      <c r="R410" t="str">
        <f>Sheet1!AJ410</f>
        <v/>
      </c>
      <c r="S410" t="str">
        <f>Sheet1!AK410</f>
        <v>In Proses</v>
      </c>
      <c r="T410" t="str">
        <f>Sheet1!AL410</f>
        <v>SA</v>
      </c>
      <c r="U410">
        <f t="shared" si="6"/>
        <v>0</v>
      </c>
    </row>
    <row r="411" spans="1:21" x14ac:dyDescent="0.25">
      <c r="A411">
        <f>Sheet1!A411</f>
        <v>410</v>
      </c>
      <c r="B411" t="str">
        <f>Sheet1!B411</f>
        <v>LAMPUNG</v>
      </c>
      <c r="C411" t="str">
        <f>Sheet1!C411</f>
        <v>adita viston by akta</v>
      </c>
      <c r="D411" t="str">
        <f>Sheet1!D411</f>
        <v>ODRNO2607300037</v>
      </c>
      <c r="E411" t="str">
        <f>Sheet1!E411</f>
        <v>810PRS20260700755</v>
      </c>
      <c r="F411" t="str">
        <f>Sheet1!F411</f>
        <v>Sales Agent (SA)</v>
      </c>
      <c r="G411">
        <f>Sheet1!G411</f>
        <v>0</v>
      </c>
      <c r="H411">
        <f>Sheet1!H411</f>
        <v>0</v>
      </c>
      <c r="I411" t="str">
        <f>Sheet1!I411</f>
        <v>AZWAN</v>
      </c>
      <c r="J411" s="2">
        <f>Sheet1!K411</f>
        <v>46233.409885567104</v>
      </c>
      <c r="K411" s="2">
        <f>Sheet1!L411</f>
        <v>46233.427875381902</v>
      </c>
      <c r="L411" t="str">
        <f>Sheet1!M411</f>
        <v>Drop Data by CA</v>
      </c>
      <c r="M411" t="str">
        <f>Sheet1!P411</f>
        <v>TOYOTA</v>
      </c>
      <c r="N411" t="str">
        <f>Sheet1!Q411</f>
        <v>2025</v>
      </c>
      <c r="O411">
        <f>Sheet1!AB411</f>
        <v>0</v>
      </c>
      <c r="P411" s="2">
        <f>Sheet1!AD411</f>
        <v>0</v>
      </c>
      <c r="Q411" t="str">
        <f>Sheet1!AI411</f>
        <v>SAMSUL MUNIR-126015</v>
      </c>
      <c r="R411" t="str">
        <f>Sheet1!AJ411</f>
        <v/>
      </c>
      <c r="S411" t="str">
        <f>Sheet1!AK411</f>
        <v>Reject</v>
      </c>
      <c r="T411" t="str">
        <f>Sheet1!AL411</f>
        <v>SA</v>
      </c>
      <c r="U411">
        <f t="shared" si="6"/>
        <v>0</v>
      </c>
    </row>
    <row r="412" spans="1:21" x14ac:dyDescent="0.25">
      <c r="A412">
        <f>Sheet1!A412</f>
        <v>411</v>
      </c>
      <c r="B412" t="str">
        <f>Sheet1!B412</f>
        <v>PEKANBARU</v>
      </c>
      <c r="C412" t="str">
        <f>Sheet1!C412</f>
        <v>DARNI YANTI</v>
      </c>
      <c r="D412" t="str">
        <f>Sheet1!D412</f>
        <v>ODRNO2607300071</v>
      </c>
      <c r="E412" t="str">
        <f>Sheet1!E412</f>
        <v>805PRS20260702882</v>
      </c>
      <c r="F412" t="str">
        <f>Sheet1!F412</f>
        <v>Sales Agent (SA)</v>
      </c>
      <c r="G412">
        <f>Sheet1!G412</f>
        <v>0</v>
      </c>
      <c r="H412">
        <f>Sheet1!H412</f>
        <v>0</v>
      </c>
      <c r="I412" t="str">
        <f>Sheet1!I412</f>
        <v>MUHAMMAD RIDWAN</v>
      </c>
      <c r="J412" s="2">
        <f>Sheet1!K412</f>
        <v>46233.470992824099</v>
      </c>
      <c r="K412" s="2">
        <f>Sheet1!L412</f>
        <v>46233.623007256901</v>
      </c>
      <c r="L412" t="str">
        <f>Sheet1!M412</f>
        <v>Assignment Survey 1</v>
      </c>
      <c r="M412" t="str">
        <f>Sheet1!P412</f>
        <v>DAIHATSU</v>
      </c>
      <c r="N412" t="str">
        <f>Sheet1!Q412</f>
        <v>2018</v>
      </c>
      <c r="O412">
        <f>Sheet1!AB412</f>
        <v>0</v>
      </c>
      <c r="P412" s="2">
        <f>Sheet1!AD412</f>
        <v>46235</v>
      </c>
      <c r="Q412" t="str">
        <f>Sheet1!AI412</f>
        <v>MUHAMMAD RAMLI-226112</v>
      </c>
      <c r="R412" t="str">
        <f>Sheet1!AJ412</f>
        <v/>
      </c>
      <c r="S412" t="str">
        <f>Sheet1!AK412</f>
        <v>In Proses</v>
      </c>
      <c r="T412" t="str">
        <f>Sheet1!AL412</f>
        <v>SA</v>
      </c>
      <c r="U412">
        <f t="shared" si="6"/>
        <v>0</v>
      </c>
    </row>
    <row r="413" spans="1:21" x14ac:dyDescent="0.25">
      <c r="A413">
        <f>Sheet1!A413</f>
        <v>412</v>
      </c>
      <c r="B413" t="str">
        <f>Sheet1!B413</f>
        <v>PEKANBARU</v>
      </c>
      <c r="C413" t="str">
        <f>Sheet1!C413</f>
        <v>MUHAMMAD SYUKRI</v>
      </c>
      <c r="D413" t="str">
        <f>Sheet1!D413</f>
        <v>ODRNO2607300127</v>
      </c>
      <c r="E413" t="str">
        <f>Sheet1!E413</f>
        <v>805PRS20260702889</v>
      </c>
      <c r="F413" t="str">
        <f>Sheet1!F413</f>
        <v>Sales Agent (SA)</v>
      </c>
      <c r="G413">
        <f>Sheet1!G413</f>
        <v>0</v>
      </c>
      <c r="H413">
        <f>Sheet1!H413</f>
        <v>0</v>
      </c>
      <c r="I413" t="str">
        <f>Sheet1!I413</f>
        <v>MUHAMMAD RIDWAN</v>
      </c>
      <c r="J413" s="2">
        <f>Sheet1!K413</f>
        <v>46233.619144942102</v>
      </c>
      <c r="K413" s="2">
        <f>Sheet1!L413</f>
        <v>46233.628523263898</v>
      </c>
      <c r="L413" t="str">
        <f>Sheet1!M413</f>
        <v>Drop Data by CA</v>
      </c>
      <c r="M413" t="str">
        <f>Sheet1!P413</f>
        <v>HONDA</v>
      </c>
      <c r="N413" t="str">
        <f>Sheet1!Q413</f>
        <v>2022</v>
      </c>
      <c r="O413">
        <f>Sheet1!AB413</f>
        <v>0</v>
      </c>
      <c r="P413" s="2">
        <f>Sheet1!AD413</f>
        <v>0</v>
      </c>
      <c r="Q413" t="str">
        <f>Sheet1!AI413</f>
        <v>SYAFITRA-126096</v>
      </c>
      <c r="R413" t="str">
        <f>Sheet1!AJ413</f>
        <v/>
      </c>
      <c r="S413" t="str">
        <f>Sheet1!AK413</f>
        <v>Reject</v>
      </c>
      <c r="T413" t="str">
        <f>Sheet1!AL413</f>
        <v>SA</v>
      </c>
      <c r="U413">
        <f t="shared" si="6"/>
        <v>0</v>
      </c>
    </row>
    <row r="414" spans="1:21" x14ac:dyDescent="0.25">
      <c r="A414">
        <f>Sheet1!A414</f>
        <v>413</v>
      </c>
      <c r="B414" t="str">
        <f>Sheet1!B414</f>
        <v>SEMARANG</v>
      </c>
      <c r="C414" t="str">
        <f>Sheet1!C414</f>
        <v>NURSALIM</v>
      </c>
      <c r="D414" t="str">
        <f>Sheet1!D414</f>
        <v>ODRNO2607300119</v>
      </c>
      <c r="E414" t="str">
        <f>Sheet1!E414</f>
        <v>816PRS20260700664</v>
      </c>
      <c r="F414" t="str">
        <f>Sheet1!F414</f>
        <v>LandingPage</v>
      </c>
      <c r="G414">
        <f>Sheet1!G414</f>
        <v>0</v>
      </c>
      <c r="H414">
        <f>Sheet1!H414</f>
        <v>0</v>
      </c>
      <c r="I414" t="str">
        <f>Sheet1!I414</f>
        <v>SIGIT SUBEKTI</v>
      </c>
      <c r="J414" s="2">
        <f>Sheet1!K414</f>
        <v>46233.597563159703</v>
      </c>
      <c r="K414" s="2">
        <f>Sheet1!L414</f>
        <v>46233.607717824103</v>
      </c>
      <c r="L414" t="str">
        <f>Sheet1!M414</f>
        <v>Drop Data by CA</v>
      </c>
      <c r="M414" t="str">
        <f>Sheet1!P414</f>
        <v>SUZUKI</v>
      </c>
      <c r="N414" t="str">
        <f>Sheet1!Q414</f>
        <v>2023</v>
      </c>
      <c r="O414">
        <f>Sheet1!AB414</f>
        <v>0</v>
      </c>
      <c r="P414" s="2">
        <f>Sheet1!AD414</f>
        <v>0</v>
      </c>
      <c r="Q414">
        <f>Sheet1!AI414</f>
        <v>0</v>
      </c>
      <c r="R414">
        <f>Sheet1!AJ414</f>
        <v>0</v>
      </c>
      <c r="S414" t="str">
        <f>Sheet1!AK414</f>
        <v>Reject</v>
      </c>
      <c r="T414" t="str">
        <f>Sheet1!AL414</f>
        <v>SA</v>
      </c>
      <c r="U414">
        <f t="shared" si="6"/>
        <v>0</v>
      </c>
    </row>
    <row r="415" spans="1:21" x14ac:dyDescent="0.25">
      <c r="A415">
        <f>Sheet1!A415</f>
        <v>414</v>
      </c>
      <c r="B415" t="str">
        <f>Sheet1!B415</f>
        <v>ALAM SUTERA</v>
      </c>
      <c r="C415" t="str">
        <f>Sheet1!C415</f>
        <v>AMRI RIFAIH</v>
      </c>
      <c r="D415" t="str">
        <f>Sheet1!D415</f>
        <v>ODRNO2607310171</v>
      </c>
      <c r="E415" t="str">
        <f>Sheet1!E415</f>
        <v>838PRS20260702756</v>
      </c>
      <c r="F415" t="str">
        <f>Sheet1!F415</f>
        <v>Sales Agent (SA)</v>
      </c>
      <c r="G415">
        <f>Sheet1!G415</f>
        <v>0</v>
      </c>
      <c r="H415">
        <f>Sheet1!H415</f>
        <v>0</v>
      </c>
      <c r="I415" t="str">
        <f>Sheet1!I415</f>
        <v>IBRAHIM AZIZ</v>
      </c>
      <c r="J415" s="2">
        <f>Sheet1!K415</f>
        <v>46234.653531794</v>
      </c>
      <c r="K415" s="2">
        <f>Sheet1!L415</f>
        <v>46234.663598842599</v>
      </c>
      <c r="L415" t="str">
        <f>Sheet1!M415</f>
        <v>Drop Data by CA</v>
      </c>
      <c r="M415" t="str">
        <f>Sheet1!P415</f>
        <v>DAIHATSU</v>
      </c>
      <c r="N415" t="str">
        <f>Sheet1!Q415</f>
        <v>2015</v>
      </c>
      <c r="O415">
        <f>Sheet1!AB415</f>
        <v>0</v>
      </c>
      <c r="P415" s="2">
        <f>Sheet1!AD415</f>
        <v>0</v>
      </c>
      <c r="Q415" t="str">
        <f>Sheet1!AI415</f>
        <v>APRILLIA ANGGRAENI-126005</v>
      </c>
      <c r="R415" t="str">
        <f>Sheet1!AJ415</f>
        <v/>
      </c>
      <c r="S415" t="str">
        <f>Sheet1!AK415</f>
        <v>Reject</v>
      </c>
      <c r="T415" t="str">
        <f>Sheet1!AL415</f>
        <v>SA</v>
      </c>
      <c r="U415">
        <f t="shared" si="6"/>
        <v>0</v>
      </c>
    </row>
    <row r="416" spans="1:21" x14ac:dyDescent="0.25">
      <c r="A416">
        <f>Sheet1!A416</f>
        <v>415</v>
      </c>
      <c r="B416" t="str">
        <f>Sheet1!B416</f>
        <v>ALAM SUTERA</v>
      </c>
      <c r="C416" t="str">
        <f>Sheet1!C416</f>
        <v>H AHMAD SARULI</v>
      </c>
      <c r="D416" t="str">
        <f>Sheet1!D416</f>
        <v>ODRNO2607310176</v>
      </c>
      <c r="E416" t="str">
        <f>Sheet1!E416</f>
        <v>838PRS20260702757</v>
      </c>
      <c r="F416" t="str">
        <f>Sheet1!F416</f>
        <v>Sales Agent (SA)</v>
      </c>
      <c r="G416">
        <f>Sheet1!G416</f>
        <v>0</v>
      </c>
      <c r="H416">
        <f>Sheet1!H416</f>
        <v>0</v>
      </c>
      <c r="I416" t="str">
        <f>Sheet1!I416</f>
        <v>IBRAHIM AZIZ</v>
      </c>
      <c r="J416" s="2">
        <f>Sheet1!K416</f>
        <v>46234.656656446801</v>
      </c>
      <c r="K416" s="2">
        <f>Sheet1!L416</f>
        <v>46234.677269560198</v>
      </c>
      <c r="L416" t="str">
        <f>Sheet1!M416</f>
        <v>Assignment Survey 1</v>
      </c>
      <c r="M416" t="str">
        <f>Sheet1!P416</f>
        <v>TOYOTA</v>
      </c>
      <c r="N416" t="str">
        <f>Sheet1!Q416</f>
        <v>2022</v>
      </c>
      <c r="O416">
        <f>Sheet1!AB416</f>
        <v>0</v>
      </c>
      <c r="P416" s="2">
        <f>Sheet1!AD416</f>
        <v>0</v>
      </c>
      <c r="Q416" t="str">
        <f>Sheet1!AI416</f>
        <v>APRILLIA ANGGRAENI-126005</v>
      </c>
      <c r="R416" t="str">
        <f>Sheet1!AJ416</f>
        <v/>
      </c>
      <c r="S416" t="str">
        <f>Sheet1!AK416</f>
        <v>In Proses</v>
      </c>
      <c r="T416" t="str">
        <f>Sheet1!AL416</f>
        <v>SA</v>
      </c>
      <c r="U416">
        <f t="shared" si="6"/>
        <v>0</v>
      </c>
    </row>
    <row r="417" spans="1:21" x14ac:dyDescent="0.25">
      <c r="A417">
        <f>Sheet1!A417</f>
        <v>416</v>
      </c>
      <c r="B417" t="str">
        <f>Sheet1!B417</f>
        <v>BALIKPAPAN</v>
      </c>
      <c r="C417" t="str">
        <f>Sheet1!C417</f>
        <v>EDI NOFRI</v>
      </c>
      <c r="D417" t="str">
        <f>Sheet1!D417</f>
        <v>ODRNO2607310229</v>
      </c>
      <c r="E417" t="str">
        <f>Sheet1!E417</f>
        <v>824PRS20260700759</v>
      </c>
      <c r="F417" t="str">
        <f>Sheet1!F417</f>
        <v>Sales Agent (SA)</v>
      </c>
      <c r="G417">
        <f>Sheet1!G417</f>
        <v>0</v>
      </c>
      <c r="H417">
        <f>Sheet1!H417</f>
        <v>0</v>
      </c>
      <c r="I417" t="str">
        <f>Sheet1!I417</f>
        <v>YUDHISTIRA PUTRA MARENTEK</v>
      </c>
      <c r="J417" s="2">
        <f>Sheet1!K417</f>
        <v>46234.864079247702</v>
      </c>
      <c r="K417" s="2">
        <f>Sheet1!L417</f>
        <v>46234.868139317099</v>
      </c>
      <c r="L417" t="str">
        <f>Sheet1!M417</f>
        <v>Must Edit Prospect on Confins</v>
      </c>
      <c r="M417" t="str">
        <f>Sheet1!P417</f>
        <v>TOYOTA</v>
      </c>
      <c r="N417" t="str">
        <f>Sheet1!Q417</f>
        <v>2013</v>
      </c>
      <c r="O417">
        <f>Sheet1!AB417</f>
        <v>0</v>
      </c>
      <c r="P417" s="2">
        <f>Sheet1!AD417</f>
        <v>0</v>
      </c>
      <c r="Q417" t="str">
        <f>Sheet1!AI417</f>
        <v>HERWAN MASRULI-126393</v>
      </c>
      <c r="R417" t="str">
        <f>Sheet1!AJ417</f>
        <v/>
      </c>
      <c r="S417" t="str">
        <f>Sheet1!AK417</f>
        <v>In Proses</v>
      </c>
      <c r="T417" t="str">
        <f>Sheet1!AL417</f>
        <v>SA</v>
      </c>
      <c r="U417">
        <f t="shared" si="6"/>
        <v>0</v>
      </c>
    </row>
    <row r="418" spans="1:21" x14ac:dyDescent="0.25">
      <c r="A418">
        <f>Sheet1!A418</f>
        <v>417</v>
      </c>
      <c r="B418" t="str">
        <f>Sheet1!B418</f>
        <v>BANGKA</v>
      </c>
      <c r="C418" t="str">
        <f>Sheet1!C418</f>
        <v>Septian Aditia</v>
      </c>
      <c r="D418" t="str">
        <f>Sheet1!D418</f>
        <v>ODRNO2607310139</v>
      </c>
      <c r="E418" t="str">
        <f>Sheet1!E418</f>
        <v>836PRS20260700579</v>
      </c>
      <c r="F418" t="str">
        <f>Sheet1!F418</f>
        <v>Sales Agent (SA)</v>
      </c>
      <c r="G418">
        <f>Sheet1!G418</f>
        <v>0</v>
      </c>
      <c r="H418">
        <f>Sheet1!H418</f>
        <v>0</v>
      </c>
      <c r="I418" t="str">
        <f>Sheet1!I418</f>
        <v>RAMADHAN TRITAMA</v>
      </c>
      <c r="J418" s="2">
        <f>Sheet1!K418</f>
        <v>46234.600617210701</v>
      </c>
      <c r="K418" s="2">
        <f>Sheet1!L418</f>
        <v>46234.6116603357</v>
      </c>
      <c r="L418" t="str">
        <f>Sheet1!M418</f>
        <v>Drop Data by CA</v>
      </c>
      <c r="M418" t="str">
        <f>Sheet1!P418</f>
        <v>SUZUKI</v>
      </c>
      <c r="N418" t="str">
        <f>Sheet1!Q418</f>
        <v>2016</v>
      </c>
      <c r="O418">
        <f>Sheet1!AB418</f>
        <v>0</v>
      </c>
      <c r="P418" s="2">
        <f>Sheet1!AD418</f>
        <v>0</v>
      </c>
      <c r="Q418" t="str">
        <f>Sheet1!AI418</f>
        <v>MAHDI-126257</v>
      </c>
      <c r="R418" t="str">
        <f>Sheet1!AJ418</f>
        <v/>
      </c>
      <c r="S418" t="str">
        <f>Sheet1!AK418</f>
        <v>Reject</v>
      </c>
      <c r="T418" t="str">
        <f>Sheet1!AL418</f>
        <v>SA</v>
      </c>
      <c r="U418">
        <f t="shared" si="6"/>
        <v>0</v>
      </c>
    </row>
    <row r="419" spans="1:21" x14ac:dyDescent="0.25">
      <c r="A419">
        <f>Sheet1!A419</f>
        <v>418</v>
      </c>
      <c r="B419" t="str">
        <f>Sheet1!B419</f>
        <v>BEKASI</v>
      </c>
      <c r="C419" t="str">
        <f>Sheet1!C419</f>
        <v>ADHANURARAHIM REIZANI A</v>
      </c>
      <c r="D419" t="str">
        <f>Sheet1!D419</f>
        <v>ODRNO2607310012</v>
      </c>
      <c r="E419" t="str">
        <f>Sheet1!E419</f>
        <v>811PRS20260705159</v>
      </c>
      <c r="F419" t="str">
        <f>Sheet1!F419</f>
        <v>Sales Agent (SA)</v>
      </c>
      <c r="G419">
        <f>Sheet1!G419</f>
        <v>0</v>
      </c>
      <c r="H419">
        <f>Sheet1!H419</f>
        <v>0</v>
      </c>
      <c r="I419" t="str">
        <f>Sheet1!I419</f>
        <v>KURNIAWAN ARIBOWO</v>
      </c>
      <c r="J419" s="2">
        <f>Sheet1!K419</f>
        <v>46234.3150046644</v>
      </c>
      <c r="K419" s="2">
        <f>Sheet1!L419</f>
        <v>46234.319605902798</v>
      </c>
      <c r="L419" t="str">
        <f>Sheet1!M419</f>
        <v>Drop Data by CA</v>
      </c>
      <c r="M419" t="str">
        <f>Sheet1!P419</f>
        <v>TOYOTA</v>
      </c>
      <c r="N419" t="str">
        <f>Sheet1!Q419</f>
        <v>2013</v>
      </c>
      <c r="O419">
        <f>Sheet1!AB419</f>
        <v>0</v>
      </c>
      <c r="P419" s="2">
        <f>Sheet1!AD419</f>
        <v>0</v>
      </c>
      <c r="Q419" t="str">
        <f>Sheet1!AI419</f>
        <v>VALENTINUS WAHYU SUSILO-326082</v>
      </c>
      <c r="R419" t="str">
        <f>Sheet1!AJ419</f>
        <v/>
      </c>
      <c r="S419" t="str">
        <f>Sheet1!AK419</f>
        <v>Reject</v>
      </c>
      <c r="T419" t="str">
        <f>Sheet1!AL419</f>
        <v>SA</v>
      </c>
      <c r="U419">
        <f t="shared" si="6"/>
        <v>0</v>
      </c>
    </row>
    <row r="420" spans="1:21" x14ac:dyDescent="0.25">
      <c r="A420">
        <f>Sheet1!A420</f>
        <v>419</v>
      </c>
      <c r="B420" t="str">
        <f>Sheet1!B420</f>
        <v>BEKASI</v>
      </c>
      <c r="C420" t="str">
        <f>Sheet1!C420</f>
        <v>IRVAN MAULANA</v>
      </c>
      <c r="D420" t="str">
        <f>Sheet1!D420</f>
        <v>ODRNO2607310069</v>
      </c>
      <c r="E420" t="str">
        <f>Sheet1!E420</f>
        <v>811PRS20260705164</v>
      </c>
      <c r="F420" t="str">
        <f>Sheet1!F420</f>
        <v>Sales Agent (SA)</v>
      </c>
      <c r="G420">
        <f>Sheet1!G420</f>
        <v>0</v>
      </c>
      <c r="H420">
        <f>Sheet1!H420</f>
        <v>0</v>
      </c>
      <c r="I420" t="str">
        <f>Sheet1!I420</f>
        <v>KURNIAWAN ARIBOWO</v>
      </c>
      <c r="J420" s="2">
        <f>Sheet1!K420</f>
        <v>46234.447909143499</v>
      </c>
      <c r="K420" s="2">
        <f>Sheet1!L420</f>
        <v>46234.465805208303</v>
      </c>
      <c r="L420" t="str">
        <f>Sheet1!M420</f>
        <v>Drop Data by CA</v>
      </c>
      <c r="M420" t="str">
        <f>Sheet1!P420</f>
        <v>HONDA</v>
      </c>
      <c r="N420" t="str">
        <f>Sheet1!Q420</f>
        <v>2015</v>
      </c>
      <c r="O420">
        <f>Sheet1!AB420</f>
        <v>0</v>
      </c>
      <c r="P420" s="2">
        <f>Sheet1!AD420</f>
        <v>0</v>
      </c>
      <c r="Q420" t="str">
        <f>Sheet1!AI420</f>
        <v>MUHAMAD ILYAS-526007</v>
      </c>
      <c r="R420" t="str">
        <f>Sheet1!AJ420</f>
        <v/>
      </c>
      <c r="S420" t="str">
        <f>Sheet1!AK420</f>
        <v>Reject</v>
      </c>
      <c r="T420" t="str">
        <f>Sheet1!AL420</f>
        <v>SA</v>
      </c>
      <c r="U420">
        <f t="shared" si="6"/>
        <v>0</v>
      </c>
    </row>
    <row r="421" spans="1:21" x14ac:dyDescent="0.25">
      <c r="A421">
        <f>Sheet1!A421</f>
        <v>420</v>
      </c>
      <c r="B421" t="str">
        <f>Sheet1!B421</f>
        <v>BEKASI</v>
      </c>
      <c r="C421" t="str">
        <f>Sheet1!C421</f>
        <v>ADE ZARKASIH</v>
      </c>
      <c r="D421" t="str">
        <f>Sheet1!D421</f>
        <v>ODRNO2607310076</v>
      </c>
      <c r="E421" t="str">
        <f>Sheet1!E421</f>
        <v>811PRS20260705165</v>
      </c>
      <c r="F421" t="str">
        <f>Sheet1!F421</f>
        <v>Sales Agent (SA)</v>
      </c>
      <c r="G421">
        <f>Sheet1!G421</f>
        <v>0</v>
      </c>
      <c r="H421">
        <f>Sheet1!H421</f>
        <v>0</v>
      </c>
      <c r="I421" t="str">
        <f>Sheet1!I421</f>
        <v>KURNIAWAN ARIBOWO</v>
      </c>
      <c r="J421" s="2">
        <f>Sheet1!K421</f>
        <v>46234.466822141199</v>
      </c>
      <c r="K421" s="2">
        <f>Sheet1!L421</f>
        <v>46234.479345405103</v>
      </c>
      <c r="L421" t="str">
        <f>Sheet1!M421</f>
        <v>Drop Data by CA</v>
      </c>
      <c r="M421" t="str">
        <f>Sheet1!P421</f>
        <v>TOYOTA</v>
      </c>
      <c r="N421" t="str">
        <f>Sheet1!Q421</f>
        <v>2019</v>
      </c>
      <c r="O421">
        <f>Sheet1!AB421</f>
        <v>0</v>
      </c>
      <c r="P421" s="2">
        <f>Sheet1!AD421</f>
        <v>0</v>
      </c>
      <c r="Q421" t="str">
        <f>Sheet1!AI421</f>
        <v>MUHAMMAD FATHIR SYAARASY-126197</v>
      </c>
      <c r="R421" t="str">
        <f>Sheet1!AJ421</f>
        <v/>
      </c>
      <c r="S421" t="str">
        <f>Sheet1!AK421</f>
        <v>Reject</v>
      </c>
      <c r="T421" t="str">
        <f>Sheet1!AL421</f>
        <v>SA</v>
      </c>
      <c r="U421">
        <f t="shared" si="6"/>
        <v>0</v>
      </c>
    </row>
    <row r="422" spans="1:21" x14ac:dyDescent="0.25">
      <c r="A422">
        <f>Sheet1!A422</f>
        <v>421</v>
      </c>
      <c r="B422" t="str">
        <f>Sheet1!B422</f>
        <v>BEKASI</v>
      </c>
      <c r="C422" t="str">
        <f>Sheet1!C422</f>
        <v>RAHMAD JIBNO</v>
      </c>
      <c r="D422" t="str">
        <f>Sheet1!D422</f>
        <v>ODRNO2607310097</v>
      </c>
      <c r="E422" t="str">
        <f>Sheet1!E422</f>
        <v>811PRS20260705167</v>
      </c>
      <c r="F422" t="str">
        <f>Sheet1!F422</f>
        <v>Sales Agent (SA)</v>
      </c>
      <c r="G422">
        <f>Sheet1!G422</f>
        <v>0</v>
      </c>
      <c r="H422">
        <f>Sheet1!H422</f>
        <v>0</v>
      </c>
      <c r="I422" t="str">
        <f>Sheet1!I422</f>
        <v>KURNIAWAN ARIBOWO</v>
      </c>
      <c r="J422" s="2">
        <f>Sheet1!K422</f>
        <v>46234.5133081366</v>
      </c>
      <c r="K422" s="2">
        <f>Sheet1!L422</f>
        <v>46234.517410648201</v>
      </c>
      <c r="L422" t="str">
        <f>Sheet1!M422</f>
        <v>Drop Data by CA</v>
      </c>
      <c r="M422" t="str">
        <f>Sheet1!P422</f>
        <v>TOYOTA</v>
      </c>
      <c r="N422" t="str">
        <f>Sheet1!Q422</f>
        <v>2019</v>
      </c>
      <c r="O422">
        <f>Sheet1!AB422</f>
        <v>0</v>
      </c>
      <c r="P422" s="2">
        <f>Sheet1!AD422</f>
        <v>0</v>
      </c>
      <c r="Q422" t="str">
        <f>Sheet1!AI422</f>
        <v>RIFKI ARDIAN-126166</v>
      </c>
      <c r="R422" t="str">
        <f>Sheet1!AJ422</f>
        <v/>
      </c>
      <c r="S422" t="str">
        <f>Sheet1!AK422</f>
        <v>Reject</v>
      </c>
      <c r="T422" t="str">
        <f>Sheet1!AL422</f>
        <v>SA</v>
      </c>
      <c r="U422">
        <f t="shared" si="6"/>
        <v>0</v>
      </c>
    </row>
    <row r="423" spans="1:21" x14ac:dyDescent="0.25">
      <c r="A423">
        <f>Sheet1!A423</f>
        <v>422</v>
      </c>
      <c r="B423" t="str">
        <f>Sheet1!B423</f>
        <v>BEKASI</v>
      </c>
      <c r="C423" t="str">
        <f>Sheet1!C423</f>
        <v>OKTAVIANUS ANTONI</v>
      </c>
      <c r="D423" t="str">
        <f>Sheet1!D423</f>
        <v>ODRNO2607310099</v>
      </c>
      <c r="E423" t="str">
        <f>Sheet1!E423</f>
        <v>811PRS20260705168</v>
      </c>
      <c r="F423" t="str">
        <f>Sheet1!F423</f>
        <v>Sales Agent (SA)</v>
      </c>
      <c r="G423">
        <f>Sheet1!G423</f>
        <v>0</v>
      </c>
      <c r="H423">
        <f>Sheet1!H423</f>
        <v>0</v>
      </c>
      <c r="I423" t="str">
        <f>Sheet1!I423</f>
        <v>KURNIAWAN ARIBOWO</v>
      </c>
      <c r="J423" s="2">
        <f>Sheet1!K423</f>
        <v>46234.5156251968</v>
      </c>
      <c r="K423" s="2">
        <f>Sheet1!L423</f>
        <v>46234.520906909704</v>
      </c>
      <c r="L423" t="str">
        <f>Sheet1!M423</f>
        <v>Drop Data by CA</v>
      </c>
      <c r="M423" t="str">
        <f>Sheet1!P423</f>
        <v>TOYOTA</v>
      </c>
      <c r="N423" t="str">
        <f>Sheet1!Q423</f>
        <v>2010</v>
      </c>
      <c r="O423">
        <f>Sheet1!AB423</f>
        <v>0</v>
      </c>
      <c r="P423" s="2">
        <f>Sheet1!AD423</f>
        <v>0</v>
      </c>
      <c r="Q423" t="str">
        <f>Sheet1!AI423</f>
        <v>MUHAMAD ILYAS-526007</v>
      </c>
      <c r="R423" t="str">
        <f>Sheet1!AJ423</f>
        <v/>
      </c>
      <c r="S423" t="str">
        <f>Sheet1!AK423</f>
        <v>Reject</v>
      </c>
      <c r="T423" t="str">
        <f>Sheet1!AL423</f>
        <v>SA</v>
      </c>
      <c r="U423">
        <f t="shared" si="6"/>
        <v>0</v>
      </c>
    </row>
    <row r="424" spans="1:21" x14ac:dyDescent="0.25">
      <c r="A424">
        <f>Sheet1!A424</f>
        <v>423</v>
      </c>
      <c r="B424" t="str">
        <f>Sheet1!B424</f>
        <v>BEKASI</v>
      </c>
      <c r="C424" t="str">
        <f>Sheet1!C424</f>
        <v>MOCHAMMAD JAKA ABDUL FATAH</v>
      </c>
      <c r="D424" t="str">
        <f>Sheet1!D424</f>
        <v>ODRNO2607310115</v>
      </c>
      <c r="E424" t="str">
        <f>Sheet1!E424</f>
        <v>811PRS20260705169</v>
      </c>
      <c r="F424" t="str">
        <f>Sheet1!F424</f>
        <v>Sales Agent (SA)</v>
      </c>
      <c r="G424">
        <f>Sheet1!G424</f>
        <v>0</v>
      </c>
      <c r="H424">
        <f>Sheet1!H424</f>
        <v>0</v>
      </c>
      <c r="I424" t="str">
        <f>Sheet1!I424</f>
        <v>KURNIAWAN ARIBOWO</v>
      </c>
      <c r="J424" s="2">
        <f>Sheet1!K424</f>
        <v>46234.5550393866</v>
      </c>
      <c r="K424" s="2">
        <f>Sheet1!L424</f>
        <v>46234.559598148102</v>
      </c>
      <c r="L424" t="str">
        <f>Sheet1!M424</f>
        <v>Drop Data by CA</v>
      </c>
      <c r="M424" t="str">
        <f>Sheet1!P424</f>
        <v>HONDA</v>
      </c>
      <c r="N424" t="str">
        <f>Sheet1!Q424</f>
        <v>2019</v>
      </c>
      <c r="O424">
        <f>Sheet1!AB424</f>
        <v>0</v>
      </c>
      <c r="P424" s="2">
        <f>Sheet1!AD424</f>
        <v>0</v>
      </c>
      <c r="Q424" t="str">
        <f>Sheet1!AI424</f>
        <v>TITO-126368</v>
      </c>
      <c r="R424" t="str">
        <f>Sheet1!AJ424</f>
        <v/>
      </c>
      <c r="S424" t="str">
        <f>Sheet1!AK424</f>
        <v>Reject</v>
      </c>
      <c r="T424" t="str">
        <f>Sheet1!AL424</f>
        <v>SA</v>
      </c>
      <c r="U424">
        <f t="shared" si="6"/>
        <v>0</v>
      </c>
    </row>
    <row r="425" spans="1:21" x14ac:dyDescent="0.25">
      <c r="A425">
        <f>Sheet1!A425</f>
        <v>424</v>
      </c>
      <c r="B425" t="str">
        <f>Sheet1!B425</f>
        <v>BEKASI</v>
      </c>
      <c r="C425" t="str">
        <f>Sheet1!C425</f>
        <v>JUBAEDAH</v>
      </c>
      <c r="D425" t="str">
        <f>Sheet1!D425</f>
        <v>ODRNO2607310183</v>
      </c>
      <c r="E425" t="str">
        <f>Sheet1!E425</f>
        <v>811PRS20260705175</v>
      </c>
      <c r="F425" t="str">
        <f>Sheet1!F425</f>
        <v>Sales Agent (SA)</v>
      </c>
      <c r="G425">
        <f>Sheet1!G425</f>
        <v>0</v>
      </c>
      <c r="H425">
        <f>Sheet1!H425</f>
        <v>0</v>
      </c>
      <c r="I425" t="str">
        <f>Sheet1!I425</f>
        <v>KURNIAWAN ARIBOWO</v>
      </c>
      <c r="J425" s="2">
        <f>Sheet1!K425</f>
        <v>46234.664145682902</v>
      </c>
      <c r="K425" s="2">
        <f>Sheet1!L425</f>
        <v>46234.670525659698</v>
      </c>
      <c r="L425" t="str">
        <f>Sheet1!M425</f>
        <v>Drop Data by CA</v>
      </c>
      <c r="M425" t="str">
        <f>Sheet1!P425</f>
        <v>DAIHATSU</v>
      </c>
      <c r="N425" t="str">
        <f>Sheet1!Q425</f>
        <v>2018</v>
      </c>
      <c r="O425">
        <f>Sheet1!AB425</f>
        <v>0</v>
      </c>
      <c r="P425" s="2">
        <f>Sheet1!AD425</f>
        <v>0</v>
      </c>
      <c r="Q425" t="str">
        <f>Sheet1!AI425</f>
        <v>ALEXANDER MARCEL-326017</v>
      </c>
      <c r="R425" t="str">
        <f>Sheet1!AJ425</f>
        <v/>
      </c>
      <c r="S425" t="str">
        <f>Sheet1!AK425</f>
        <v>Reject</v>
      </c>
      <c r="T425" t="str">
        <f>Sheet1!AL425</f>
        <v>SA</v>
      </c>
      <c r="U425">
        <f t="shared" si="6"/>
        <v>0</v>
      </c>
    </row>
    <row r="426" spans="1:21" x14ac:dyDescent="0.25">
      <c r="A426">
        <f>Sheet1!A426</f>
        <v>425</v>
      </c>
      <c r="B426" t="str">
        <f>Sheet1!B426</f>
        <v>BEKASI</v>
      </c>
      <c r="C426" t="str">
        <f>Sheet1!C426</f>
        <v>RAMDHANI JOHN ANWAR</v>
      </c>
      <c r="D426" t="str">
        <f>Sheet1!D426</f>
        <v>ODRNO2607310185</v>
      </c>
      <c r="E426" t="str">
        <f>Sheet1!E426</f>
        <v>811PRS20260705176</v>
      </c>
      <c r="F426" t="str">
        <f>Sheet1!F426</f>
        <v>Sales Agent (SA)</v>
      </c>
      <c r="G426">
        <f>Sheet1!G426</f>
        <v>0</v>
      </c>
      <c r="H426">
        <f>Sheet1!H426</f>
        <v>0</v>
      </c>
      <c r="I426" t="str">
        <f>Sheet1!I426</f>
        <v>KURNIAWAN ARIBOWO</v>
      </c>
      <c r="J426" s="2">
        <f>Sheet1!K426</f>
        <v>46234.666349074098</v>
      </c>
      <c r="K426" s="2">
        <f>Sheet1!L426</f>
        <v>46234.677297303198</v>
      </c>
      <c r="L426" t="str">
        <f>Sheet1!M426</f>
        <v>Drop Data by CA</v>
      </c>
      <c r="M426" t="str">
        <f>Sheet1!P426</f>
        <v>HONDA</v>
      </c>
      <c r="N426" t="str">
        <f>Sheet1!Q426</f>
        <v>2018</v>
      </c>
      <c r="O426">
        <f>Sheet1!AB426</f>
        <v>0</v>
      </c>
      <c r="P426" s="2">
        <f>Sheet1!AD426</f>
        <v>0</v>
      </c>
      <c r="Q426" t="str">
        <f>Sheet1!AI426</f>
        <v>ALEXANDER MARCEL-326017</v>
      </c>
      <c r="R426" t="str">
        <f>Sheet1!AJ426</f>
        <v/>
      </c>
      <c r="S426" t="str">
        <f>Sheet1!AK426</f>
        <v>Reject</v>
      </c>
      <c r="T426" t="str">
        <f>Sheet1!AL426</f>
        <v>SA</v>
      </c>
      <c r="U426">
        <f t="shared" si="6"/>
        <v>0</v>
      </c>
    </row>
    <row r="427" spans="1:21" x14ac:dyDescent="0.25">
      <c r="A427">
        <f>Sheet1!A427</f>
        <v>426</v>
      </c>
      <c r="B427" t="str">
        <f>Sheet1!B427</f>
        <v>BOGOR</v>
      </c>
      <c r="C427" t="str">
        <f>Sheet1!C427</f>
        <v>YOSSI NEVARISTA BASYIR</v>
      </c>
      <c r="D427" t="str">
        <f>Sheet1!D427</f>
        <v>ODRNO2607310140</v>
      </c>
      <c r="E427" t="str">
        <f>Sheet1!E427</f>
        <v>812PRS20260701475</v>
      </c>
      <c r="F427" t="str">
        <f>Sheet1!F427</f>
        <v>Sales Agent (SA)</v>
      </c>
      <c r="G427">
        <f>Sheet1!G427</f>
        <v>0</v>
      </c>
      <c r="H427">
        <f>Sheet1!H427</f>
        <v>0</v>
      </c>
      <c r="I427" t="str">
        <f>Sheet1!I427</f>
        <v>EKA SUNARYO</v>
      </c>
      <c r="J427" s="2">
        <f>Sheet1!K427</f>
        <v>46234.601436689802</v>
      </c>
      <c r="K427" s="2">
        <f>Sheet1!L427</f>
        <v>46235.442724537003</v>
      </c>
      <c r="L427" t="str">
        <f>Sheet1!M427</f>
        <v>Assignment Survey 1</v>
      </c>
      <c r="M427" t="str">
        <f>Sheet1!P427</f>
        <v>TOYOTA</v>
      </c>
      <c r="N427" t="str">
        <f>Sheet1!Q427</f>
        <v>2016</v>
      </c>
      <c r="O427">
        <f>Sheet1!AB427</f>
        <v>0</v>
      </c>
      <c r="P427" s="2">
        <f>Sheet1!AD427</f>
        <v>0</v>
      </c>
      <c r="Q427" t="str">
        <f>Sheet1!AI427</f>
        <v>BILLIE SAPTORANGGA-226140</v>
      </c>
      <c r="R427" t="str">
        <f>Sheet1!AJ427</f>
        <v/>
      </c>
      <c r="S427" t="str">
        <f>Sheet1!AK427</f>
        <v>In Proses</v>
      </c>
      <c r="T427" t="str">
        <f>Sheet1!AL427</f>
        <v>SA</v>
      </c>
      <c r="U427">
        <f t="shared" si="6"/>
        <v>0</v>
      </c>
    </row>
    <row r="428" spans="1:21" x14ac:dyDescent="0.25">
      <c r="A428">
        <f>Sheet1!A428</f>
        <v>427</v>
      </c>
      <c r="B428" t="str">
        <f>Sheet1!B428</f>
        <v>FATMAWATI</v>
      </c>
      <c r="C428" t="str">
        <f>Sheet1!C428</f>
        <v>WULAN ROHANI</v>
      </c>
      <c r="D428" t="str">
        <f>Sheet1!D428</f>
        <v>ODRNO2607310104</v>
      </c>
      <c r="E428" t="str">
        <f>Sheet1!E428</f>
        <v>802PRS20260702536</v>
      </c>
      <c r="F428" t="str">
        <f>Sheet1!F428</f>
        <v>Sales Agent (SA)</v>
      </c>
      <c r="G428">
        <f>Sheet1!G428</f>
        <v>0</v>
      </c>
      <c r="H428">
        <f>Sheet1!H428</f>
        <v>0</v>
      </c>
      <c r="I428" t="str">
        <f>Sheet1!I428</f>
        <v>RIZQI APRIANSYAH</v>
      </c>
      <c r="J428" s="2">
        <f>Sheet1!K428</f>
        <v>46234.538002696798</v>
      </c>
      <c r="K428" s="2">
        <f>Sheet1!L428</f>
        <v>46234.548657372703</v>
      </c>
      <c r="L428" t="str">
        <f>Sheet1!M428</f>
        <v>Drop Data by CA</v>
      </c>
      <c r="M428" t="str">
        <f>Sheet1!P428</f>
        <v>TOYOTA</v>
      </c>
      <c r="N428" t="str">
        <f>Sheet1!Q428</f>
        <v>2010</v>
      </c>
      <c r="O428">
        <f>Sheet1!AB428</f>
        <v>0</v>
      </c>
      <c r="P428" s="2">
        <f>Sheet1!AD428</f>
        <v>0</v>
      </c>
      <c r="Q428" t="str">
        <f>Sheet1!AI428</f>
        <v>EDLY RAYMESA-0726045</v>
      </c>
      <c r="R428" t="str">
        <f>Sheet1!AJ428</f>
        <v/>
      </c>
      <c r="S428" t="str">
        <f>Sheet1!AK428</f>
        <v>Reject</v>
      </c>
      <c r="T428" t="str">
        <f>Sheet1!AL428</f>
        <v>SA</v>
      </c>
      <c r="U428">
        <f t="shared" si="6"/>
        <v>0</v>
      </c>
    </row>
    <row r="429" spans="1:21" x14ac:dyDescent="0.25">
      <c r="A429">
        <f>Sheet1!A429</f>
        <v>428</v>
      </c>
      <c r="B429" t="str">
        <f>Sheet1!B429</f>
        <v>FATMAWATI</v>
      </c>
      <c r="C429" t="str">
        <f>Sheet1!C429</f>
        <v>JATIKA SAPUTRA</v>
      </c>
      <c r="D429" t="str">
        <f>Sheet1!D429</f>
        <v>ODRNO2607310107</v>
      </c>
      <c r="E429" t="str">
        <f>Sheet1!E429</f>
        <v>802PRS20260702537</v>
      </c>
      <c r="F429" t="str">
        <f>Sheet1!F429</f>
        <v>Sales Agent (SA)</v>
      </c>
      <c r="G429">
        <f>Sheet1!G429</f>
        <v>0</v>
      </c>
      <c r="H429">
        <f>Sheet1!H429</f>
        <v>0</v>
      </c>
      <c r="I429" t="str">
        <f>Sheet1!I429</f>
        <v>RIZQI APRIANSYAH</v>
      </c>
      <c r="J429" s="2">
        <f>Sheet1!K429</f>
        <v>46234.542886192103</v>
      </c>
      <c r="K429" s="2">
        <f>Sheet1!L429</f>
        <v>46234.552733796299</v>
      </c>
      <c r="L429" t="str">
        <f>Sheet1!M429</f>
        <v>Drop Data by CA</v>
      </c>
      <c r="M429" t="str">
        <f>Sheet1!P429</f>
        <v>SUZUKI</v>
      </c>
      <c r="N429" t="str">
        <f>Sheet1!Q429</f>
        <v>2018</v>
      </c>
      <c r="O429">
        <f>Sheet1!AB429</f>
        <v>0</v>
      </c>
      <c r="P429" s="2">
        <f>Sheet1!AD429</f>
        <v>0</v>
      </c>
      <c r="Q429" t="str">
        <f>Sheet1!AI429</f>
        <v>ASEP RUSLI HIDAYAT M-0726018</v>
      </c>
      <c r="R429" t="str">
        <f>Sheet1!AJ429</f>
        <v/>
      </c>
      <c r="S429" t="str">
        <f>Sheet1!AK429</f>
        <v>Reject</v>
      </c>
      <c r="T429" t="str">
        <f>Sheet1!AL429</f>
        <v>SA</v>
      </c>
      <c r="U429">
        <f t="shared" si="6"/>
        <v>0</v>
      </c>
    </row>
    <row r="430" spans="1:21" x14ac:dyDescent="0.25">
      <c r="A430">
        <f>Sheet1!A430</f>
        <v>429</v>
      </c>
      <c r="B430" t="str">
        <f>Sheet1!B430</f>
        <v>FATMAWATI</v>
      </c>
      <c r="C430" t="str">
        <f>Sheet1!C430</f>
        <v>DIAN APRILYANI</v>
      </c>
      <c r="D430" t="str">
        <f>Sheet1!D430</f>
        <v>ODRNO2607310155</v>
      </c>
      <c r="E430" t="str">
        <f>Sheet1!E430</f>
        <v>802PRS20260702539</v>
      </c>
      <c r="F430" t="str">
        <f>Sheet1!F430</f>
        <v>Sales Agent (SA)</v>
      </c>
      <c r="G430">
        <f>Sheet1!G430</f>
        <v>0</v>
      </c>
      <c r="H430">
        <f>Sheet1!H430</f>
        <v>0</v>
      </c>
      <c r="I430" t="str">
        <f>Sheet1!I430</f>
        <v>RIZQI APRIANSYAH</v>
      </c>
      <c r="J430" s="2">
        <f>Sheet1!K430</f>
        <v>46234.624958449102</v>
      </c>
      <c r="K430" s="2">
        <f>Sheet1!L430</f>
        <v>46234.635557326401</v>
      </c>
      <c r="L430" t="str">
        <f>Sheet1!M430</f>
        <v>Assignment Survey 1</v>
      </c>
      <c r="M430" t="str">
        <f>Sheet1!P430</f>
        <v>DAIHATSU</v>
      </c>
      <c r="N430" t="str">
        <f>Sheet1!Q430</f>
        <v>2018</v>
      </c>
      <c r="O430">
        <f>Sheet1!AB430</f>
        <v>0</v>
      </c>
      <c r="P430" s="2">
        <f>Sheet1!AD430</f>
        <v>0</v>
      </c>
      <c r="Q430" t="str">
        <f>Sheet1!AI430</f>
        <v>RENDI TRIANTARA-0726013</v>
      </c>
      <c r="R430" t="str">
        <f>Sheet1!AJ430</f>
        <v/>
      </c>
      <c r="S430" t="str">
        <f>Sheet1!AK430</f>
        <v>In Proses</v>
      </c>
      <c r="T430" t="str">
        <f>Sheet1!AL430</f>
        <v>SA</v>
      </c>
      <c r="U430">
        <f t="shared" si="6"/>
        <v>0</v>
      </c>
    </row>
    <row r="431" spans="1:21" x14ac:dyDescent="0.25">
      <c r="A431">
        <f>Sheet1!A431</f>
        <v>430</v>
      </c>
      <c r="B431" t="str">
        <f>Sheet1!B431</f>
        <v>FATMAWATI</v>
      </c>
      <c r="C431" t="str">
        <f>Sheet1!C431</f>
        <v>TUMPAL SIALLAGAN</v>
      </c>
      <c r="D431" t="str">
        <f>Sheet1!D431</f>
        <v>ODRNO2607310160</v>
      </c>
      <c r="E431" t="str">
        <f>Sheet1!E431</f>
        <v>802PRS20260702540</v>
      </c>
      <c r="F431" t="str">
        <f>Sheet1!F431</f>
        <v>Sales Agent (SA)</v>
      </c>
      <c r="G431">
        <f>Sheet1!G431</f>
        <v>0</v>
      </c>
      <c r="H431">
        <f>Sheet1!H431</f>
        <v>0</v>
      </c>
      <c r="I431" t="str">
        <f>Sheet1!I431</f>
        <v>RIZQI APRIANSYAH</v>
      </c>
      <c r="J431" s="2">
        <f>Sheet1!K431</f>
        <v>46234.631479895797</v>
      </c>
      <c r="K431" s="2">
        <f>Sheet1!L431</f>
        <v>46234.639465312503</v>
      </c>
      <c r="L431" t="str">
        <f>Sheet1!M431</f>
        <v>Drop Data by CA</v>
      </c>
      <c r="M431" t="str">
        <f>Sheet1!P431</f>
        <v>SUZUKI</v>
      </c>
      <c r="N431" t="str">
        <f>Sheet1!Q431</f>
        <v>2024</v>
      </c>
      <c r="O431">
        <f>Sheet1!AB431</f>
        <v>0</v>
      </c>
      <c r="P431" s="2">
        <f>Sheet1!AD431</f>
        <v>0</v>
      </c>
      <c r="Q431" t="str">
        <f>Sheet1!AI431</f>
        <v>RENDI TRIANTARA-0726013</v>
      </c>
      <c r="R431" t="str">
        <f>Sheet1!AJ431</f>
        <v/>
      </c>
      <c r="S431" t="str">
        <f>Sheet1!AK431</f>
        <v>Reject</v>
      </c>
      <c r="T431" t="str">
        <f>Sheet1!AL431</f>
        <v>SA</v>
      </c>
      <c r="U431">
        <f t="shared" si="6"/>
        <v>0</v>
      </c>
    </row>
    <row r="432" spans="1:21" x14ac:dyDescent="0.25">
      <c r="A432">
        <f>Sheet1!A432</f>
        <v>431</v>
      </c>
      <c r="B432" t="str">
        <f>Sheet1!B432</f>
        <v>FATMAWATI</v>
      </c>
      <c r="C432" t="str">
        <f>Sheet1!C432</f>
        <v>ANDRI</v>
      </c>
      <c r="D432" t="str">
        <f>Sheet1!D432</f>
        <v>ODRNO2607310164</v>
      </c>
      <c r="E432" t="str">
        <f>Sheet1!E432</f>
        <v>802PRS20260702541</v>
      </c>
      <c r="F432" t="str">
        <f>Sheet1!F432</f>
        <v>Sales Agent (SA)</v>
      </c>
      <c r="G432">
        <f>Sheet1!G432</f>
        <v>0</v>
      </c>
      <c r="H432">
        <f>Sheet1!H432</f>
        <v>0</v>
      </c>
      <c r="I432" t="str">
        <f>Sheet1!I432</f>
        <v>RIZQI APRIANSYAH</v>
      </c>
      <c r="J432" s="2">
        <f>Sheet1!K432</f>
        <v>46234.643550428198</v>
      </c>
      <c r="K432" s="2">
        <f>Sheet1!L432</f>
        <v>46234.652822453703</v>
      </c>
      <c r="L432" t="str">
        <f>Sheet1!M432</f>
        <v>Assignment Survey 1</v>
      </c>
      <c r="M432" t="str">
        <f>Sheet1!P432</f>
        <v>DAIHATSU</v>
      </c>
      <c r="N432" t="str">
        <f>Sheet1!Q432</f>
        <v>2019</v>
      </c>
      <c r="O432">
        <f>Sheet1!AB432</f>
        <v>0</v>
      </c>
      <c r="P432" s="2">
        <f>Sheet1!AD432</f>
        <v>0</v>
      </c>
      <c r="Q432" t="str">
        <f>Sheet1!AI432</f>
        <v>RENDI TRIANTARA-0726013</v>
      </c>
      <c r="R432" t="str">
        <f>Sheet1!AJ432</f>
        <v/>
      </c>
      <c r="S432" t="str">
        <f>Sheet1!AK432</f>
        <v>In Proses</v>
      </c>
      <c r="T432" t="str">
        <f>Sheet1!AL432</f>
        <v>SA</v>
      </c>
      <c r="U432">
        <f t="shared" si="6"/>
        <v>0</v>
      </c>
    </row>
    <row r="433" spans="1:21" x14ac:dyDescent="0.25">
      <c r="A433">
        <f>Sheet1!A433</f>
        <v>432</v>
      </c>
      <c r="B433" t="str">
        <f>Sheet1!B433</f>
        <v>KEMAYORAN</v>
      </c>
      <c r="C433" t="str">
        <f>Sheet1!C433</f>
        <v>Tulus Priyono</v>
      </c>
      <c r="D433" t="str">
        <f>Sheet1!D433</f>
        <v>ODRNO2607310074</v>
      </c>
      <c r="E433" t="str">
        <f>Sheet1!E433</f>
        <v>801PRS20260700970</v>
      </c>
      <c r="F433" t="str">
        <f>Sheet1!F433</f>
        <v>Sales Agent (SA)</v>
      </c>
      <c r="G433">
        <f>Sheet1!G433</f>
        <v>0</v>
      </c>
      <c r="H433">
        <f>Sheet1!H433</f>
        <v>0</v>
      </c>
      <c r="I433" t="str">
        <f>Sheet1!I433</f>
        <v>MUHAMMAD RIZQY KEMAL</v>
      </c>
      <c r="J433" s="2">
        <f>Sheet1!K433</f>
        <v>46234.458108877297</v>
      </c>
      <c r="K433" s="2">
        <f>Sheet1!L433</f>
        <v>46234.472762963</v>
      </c>
      <c r="L433" t="str">
        <f>Sheet1!M433</f>
        <v>Must Edit Prospect on Confins</v>
      </c>
      <c r="M433" t="str">
        <f>Sheet1!P433</f>
        <v>MITSUBISHI</v>
      </c>
      <c r="N433" t="str">
        <f>Sheet1!Q433</f>
        <v>2022</v>
      </c>
      <c r="O433">
        <f>Sheet1!AB433</f>
        <v>0</v>
      </c>
      <c r="P433" s="2">
        <f>Sheet1!AD433</f>
        <v>0</v>
      </c>
      <c r="Q433" t="str">
        <f>Sheet1!AI433</f>
        <v>BANDUNG PRASETYO-0626069</v>
      </c>
      <c r="R433" t="str">
        <f>Sheet1!AJ433</f>
        <v/>
      </c>
      <c r="S433" t="str">
        <f>Sheet1!AK433</f>
        <v>In Proses</v>
      </c>
      <c r="T433" t="str">
        <f>Sheet1!AL433</f>
        <v>SA</v>
      </c>
      <c r="U433">
        <f t="shared" si="6"/>
        <v>0</v>
      </c>
    </row>
    <row r="434" spans="1:21" x14ac:dyDescent="0.25">
      <c r="A434">
        <f>Sheet1!A434</f>
        <v>433</v>
      </c>
      <c r="B434" t="str">
        <f>Sheet1!B434</f>
        <v>KEMAYORAN</v>
      </c>
      <c r="C434" t="str">
        <f>Sheet1!C434</f>
        <v>Kristina</v>
      </c>
      <c r="D434" t="str">
        <f>Sheet1!D434</f>
        <v>ODRNO2607310122</v>
      </c>
      <c r="E434" t="str">
        <f>Sheet1!E434</f>
        <v>801PRS20260700972</v>
      </c>
      <c r="F434" t="str">
        <f>Sheet1!F434</f>
        <v>Sales Agent (SA)</v>
      </c>
      <c r="G434">
        <f>Sheet1!G434</f>
        <v>0</v>
      </c>
      <c r="H434">
        <f>Sheet1!H434</f>
        <v>0</v>
      </c>
      <c r="I434" t="str">
        <f>Sheet1!I434</f>
        <v>MUHAMMAD RIZQY KEMAL</v>
      </c>
      <c r="J434" s="2">
        <f>Sheet1!K434</f>
        <v>46234.574094675903</v>
      </c>
      <c r="K434" s="2">
        <f>Sheet1!L434</f>
        <v>46234.587077349497</v>
      </c>
      <c r="L434" t="str">
        <f>Sheet1!M434</f>
        <v>Drop Data by CA</v>
      </c>
      <c r="M434" t="str">
        <f>Sheet1!P434</f>
        <v>HONDA</v>
      </c>
      <c r="N434" t="str">
        <f>Sheet1!Q434</f>
        <v>2023</v>
      </c>
      <c r="O434">
        <f>Sheet1!AB434</f>
        <v>0</v>
      </c>
      <c r="P434" s="2">
        <f>Sheet1!AD434</f>
        <v>0</v>
      </c>
      <c r="Q434" t="str">
        <f>Sheet1!AI434</f>
        <v>ANDI BILLA SHAHZAD MACORA-0626005</v>
      </c>
      <c r="R434" t="str">
        <f>Sheet1!AJ434</f>
        <v/>
      </c>
      <c r="S434" t="str">
        <f>Sheet1!AK434</f>
        <v>Reject</v>
      </c>
      <c r="T434" t="str">
        <f>Sheet1!AL434</f>
        <v>SA</v>
      </c>
      <c r="U434">
        <f t="shared" si="6"/>
        <v>0</v>
      </c>
    </row>
    <row r="435" spans="1:21" x14ac:dyDescent="0.25">
      <c r="A435">
        <f>Sheet1!A435</f>
        <v>434</v>
      </c>
      <c r="B435" t="str">
        <f>Sheet1!B435</f>
        <v>KEMAYORAN</v>
      </c>
      <c r="C435" t="str">
        <f>Sheet1!C435</f>
        <v>Ahmad Najiyullah</v>
      </c>
      <c r="D435" t="str">
        <f>Sheet1!D435</f>
        <v>ODRNO2607310125</v>
      </c>
      <c r="E435" t="str">
        <f>Sheet1!E435</f>
        <v>801PRS20260700973</v>
      </c>
      <c r="F435" t="str">
        <f>Sheet1!F435</f>
        <v>Sales Agent (SA)</v>
      </c>
      <c r="G435">
        <f>Sheet1!G435</f>
        <v>0</v>
      </c>
      <c r="H435">
        <f>Sheet1!H435</f>
        <v>0</v>
      </c>
      <c r="I435" t="str">
        <f>Sheet1!I435</f>
        <v>MUHAMMAD RIZQY KEMAL</v>
      </c>
      <c r="J435" s="2">
        <f>Sheet1!K435</f>
        <v>46234.576751655099</v>
      </c>
      <c r="K435" s="2">
        <f>Sheet1!L435</f>
        <v>46234.586925115698</v>
      </c>
      <c r="L435" t="str">
        <f>Sheet1!M435</f>
        <v>CBAS Checked</v>
      </c>
      <c r="M435" t="str">
        <f>Sheet1!P435</f>
        <v>TOYOTA</v>
      </c>
      <c r="N435" t="str">
        <f>Sheet1!Q435</f>
        <v>2022</v>
      </c>
      <c r="O435">
        <f>Sheet1!AB435</f>
        <v>0</v>
      </c>
      <c r="P435" s="2">
        <f>Sheet1!AD435</f>
        <v>0</v>
      </c>
      <c r="Q435" t="str">
        <f>Sheet1!AI435</f>
        <v>MUHAMMAD RAIHAN IHSANI-0626030</v>
      </c>
      <c r="R435" t="str">
        <f>Sheet1!AJ435</f>
        <v/>
      </c>
      <c r="S435" t="str">
        <f>Sheet1!AK435</f>
        <v>In Proses</v>
      </c>
      <c r="T435" t="str">
        <f>Sheet1!AL435</f>
        <v>SA</v>
      </c>
      <c r="U435">
        <f t="shared" si="6"/>
        <v>0</v>
      </c>
    </row>
    <row r="436" spans="1:21" x14ac:dyDescent="0.25">
      <c r="A436">
        <f>Sheet1!A436</f>
        <v>435</v>
      </c>
      <c r="B436" t="str">
        <f>Sheet1!B436</f>
        <v>KEMAYORAN</v>
      </c>
      <c r="C436" t="str">
        <f>Sheet1!C436</f>
        <v>Supardi</v>
      </c>
      <c r="D436" t="str">
        <f>Sheet1!D436</f>
        <v>ODRNO2607310129</v>
      </c>
      <c r="E436" t="str">
        <f>Sheet1!E436</f>
        <v>801PRS20260700974</v>
      </c>
      <c r="F436" t="str">
        <f>Sheet1!F436</f>
        <v>Sales Agent (SA)</v>
      </c>
      <c r="G436">
        <f>Sheet1!G436</f>
        <v>0</v>
      </c>
      <c r="H436">
        <f>Sheet1!H436</f>
        <v>0</v>
      </c>
      <c r="I436" t="str">
        <f>Sheet1!I436</f>
        <v>MUHAMMAD RIZQY KEMAL</v>
      </c>
      <c r="J436" s="2">
        <f>Sheet1!K436</f>
        <v>46234.578383645799</v>
      </c>
      <c r="K436" s="2">
        <f>Sheet1!L436</f>
        <v>46234.594262963001</v>
      </c>
      <c r="L436" t="str">
        <f>Sheet1!M436</f>
        <v>Must Edit Prospect on Confins</v>
      </c>
      <c r="M436" t="str">
        <f>Sheet1!P436</f>
        <v>HYUNDAI</v>
      </c>
      <c r="N436" t="str">
        <f>Sheet1!Q436</f>
        <v>2023</v>
      </c>
      <c r="O436">
        <f>Sheet1!AB436</f>
        <v>0</v>
      </c>
      <c r="P436" s="2">
        <f>Sheet1!AD436</f>
        <v>0</v>
      </c>
      <c r="Q436" t="str">
        <f>Sheet1!AI436</f>
        <v>ANDI BILLA SHAHZAD MACORA-0626005</v>
      </c>
      <c r="R436" t="str">
        <f>Sheet1!AJ436</f>
        <v/>
      </c>
      <c r="S436" t="str">
        <f>Sheet1!AK436</f>
        <v>In Proses</v>
      </c>
      <c r="T436" t="str">
        <f>Sheet1!AL436</f>
        <v>SA</v>
      </c>
      <c r="U436">
        <f t="shared" si="6"/>
        <v>0</v>
      </c>
    </row>
    <row r="437" spans="1:21" x14ac:dyDescent="0.25">
      <c r="A437">
        <f>Sheet1!A437</f>
        <v>436</v>
      </c>
      <c r="B437" t="str">
        <f>Sheet1!B437</f>
        <v>KEMAYORAN</v>
      </c>
      <c r="C437" t="str">
        <f>Sheet1!C437</f>
        <v>Haryanto</v>
      </c>
      <c r="D437" t="str">
        <f>Sheet1!D437</f>
        <v>ODRNO2607310165</v>
      </c>
      <c r="E437" t="str">
        <f>Sheet1!E437</f>
        <v>801PRS20260700975</v>
      </c>
      <c r="F437" t="str">
        <f>Sheet1!F437</f>
        <v>Sales Agent (SA)</v>
      </c>
      <c r="G437">
        <f>Sheet1!G437</f>
        <v>0</v>
      </c>
      <c r="H437">
        <f>Sheet1!H437</f>
        <v>0</v>
      </c>
      <c r="I437" t="str">
        <f>Sheet1!I437</f>
        <v>MUHAMMAD RIZQY KEMAL</v>
      </c>
      <c r="J437" s="2">
        <f>Sheet1!K437</f>
        <v>46234.6460794792</v>
      </c>
      <c r="K437" s="2">
        <f>Sheet1!L437</f>
        <v>46234.659915393502</v>
      </c>
      <c r="L437" t="str">
        <f>Sheet1!M437</f>
        <v>Drop Data by CA</v>
      </c>
      <c r="M437" t="str">
        <f>Sheet1!P437</f>
        <v>TOYOTA</v>
      </c>
      <c r="N437" t="str">
        <f>Sheet1!Q437</f>
        <v>2022</v>
      </c>
      <c r="O437">
        <f>Sheet1!AB437</f>
        <v>0</v>
      </c>
      <c r="P437" s="2">
        <f>Sheet1!AD437</f>
        <v>0</v>
      </c>
      <c r="Q437" t="str">
        <f>Sheet1!AI437</f>
        <v>ANDI BILLA SHAHZAD MACORA-0626005</v>
      </c>
      <c r="R437" t="str">
        <f>Sheet1!AJ437</f>
        <v/>
      </c>
      <c r="S437" t="str">
        <f>Sheet1!AK437</f>
        <v>Reject</v>
      </c>
      <c r="T437" t="str">
        <f>Sheet1!AL437</f>
        <v>SA</v>
      </c>
      <c r="U437">
        <f t="shared" si="6"/>
        <v>0</v>
      </c>
    </row>
    <row r="438" spans="1:21" x14ac:dyDescent="0.25">
      <c r="A438">
        <f>Sheet1!A438</f>
        <v>437</v>
      </c>
      <c r="B438" t="str">
        <f>Sheet1!B438</f>
        <v>KEMAYORAN</v>
      </c>
      <c r="C438" t="str">
        <f>Sheet1!C438</f>
        <v>sofyan santo petrus simbolon</v>
      </c>
      <c r="D438" t="str">
        <f>Sheet1!D438</f>
        <v>ODRNO2607310166</v>
      </c>
      <c r="E438" t="str">
        <f>Sheet1!E438</f>
        <v>801PRS20260700976</v>
      </c>
      <c r="F438" t="str">
        <f>Sheet1!F438</f>
        <v>Sales Agent (SA)</v>
      </c>
      <c r="G438">
        <f>Sheet1!G438</f>
        <v>0</v>
      </c>
      <c r="H438">
        <f>Sheet1!H438</f>
        <v>0</v>
      </c>
      <c r="I438" t="str">
        <f>Sheet1!I438</f>
        <v>MUHAMMAD RIZQY KEMAL</v>
      </c>
      <c r="J438" s="2">
        <f>Sheet1!K438</f>
        <v>46234.648292627302</v>
      </c>
      <c r="K438" s="2">
        <f>Sheet1!L438</f>
        <v>46234.652822604199</v>
      </c>
      <c r="L438" t="str">
        <f>Sheet1!M438</f>
        <v>Must Edit Prospect on Confins</v>
      </c>
      <c r="M438" t="str">
        <f>Sheet1!P438</f>
        <v>HONDA</v>
      </c>
      <c r="N438" t="str">
        <f>Sheet1!Q438</f>
        <v>2023</v>
      </c>
      <c r="O438">
        <f>Sheet1!AB438</f>
        <v>0</v>
      </c>
      <c r="P438" s="2">
        <f>Sheet1!AD438</f>
        <v>0</v>
      </c>
      <c r="Q438" t="str">
        <f>Sheet1!AI438</f>
        <v>MUHAMMAD AL QORNI AKBAR-0626033</v>
      </c>
      <c r="R438" t="str">
        <f>Sheet1!AJ438</f>
        <v/>
      </c>
      <c r="S438" t="str">
        <f>Sheet1!AK438</f>
        <v>In Proses</v>
      </c>
      <c r="T438" t="str">
        <f>Sheet1!AL438</f>
        <v>SA</v>
      </c>
      <c r="U438">
        <f t="shared" si="6"/>
        <v>0</v>
      </c>
    </row>
    <row r="439" spans="1:21" x14ac:dyDescent="0.25">
      <c r="A439">
        <f>Sheet1!A439</f>
        <v>438</v>
      </c>
      <c r="B439" t="str">
        <f>Sheet1!B439</f>
        <v>KEMAYORAN</v>
      </c>
      <c r="C439" t="str">
        <f>Sheet1!C439</f>
        <v>celvin elvandy</v>
      </c>
      <c r="D439" t="str">
        <f>Sheet1!D439</f>
        <v>ODRNO2607310167</v>
      </c>
      <c r="E439" t="str">
        <f>Sheet1!E439</f>
        <v>801PRS20260700977</v>
      </c>
      <c r="F439" t="str">
        <f>Sheet1!F439</f>
        <v>Sales Agent (SA)</v>
      </c>
      <c r="G439">
        <f>Sheet1!G439</f>
        <v>0</v>
      </c>
      <c r="H439">
        <f>Sheet1!H439</f>
        <v>0</v>
      </c>
      <c r="I439" t="str">
        <f>Sheet1!I439</f>
        <v>MUHAMMAD RIZQY KEMAL</v>
      </c>
      <c r="J439" s="2">
        <f>Sheet1!K439</f>
        <v>46234.649880474499</v>
      </c>
      <c r="K439" s="2">
        <f>Sheet1!L439</f>
        <v>46234.659915625001</v>
      </c>
      <c r="L439" t="str">
        <f>Sheet1!M439</f>
        <v>Drop Data by CA</v>
      </c>
      <c r="M439" t="str">
        <f>Sheet1!P439</f>
        <v>TOYOTA</v>
      </c>
      <c r="N439" t="str">
        <f>Sheet1!Q439</f>
        <v>2022</v>
      </c>
      <c r="O439">
        <f>Sheet1!AB439</f>
        <v>0</v>
      </c>
      <c r="P439" s="2">
        <f>Sheet1!AD439</f>
        <v>0</v>
      </c>
      <c r="Q439" t="str">
        <f>Sheet1!AI439</f>
        <v>ANDI BILLA SHAHZAD MACORA-0626005</v>
      </c>
      <c r="R439" t="str">
        <f>Sheet1!AJ439</f>
        <v/>
      </c>
      <c r="S439" t="str">
        <f>Sheet1!AK439</f>
        <v>Reject</v>
      </c>
      <c r="T439" t="str">
        <f>Sheet1!AL439</f>
        <v>SA</v>
      </c>
      <c r="U439">
        <f t="shared" si="6"/>
        <v>0</v>
      </c>
    </row>
    <row r="440" spans="1:21" x14ac:dyDescent="0.25">
      <c r="A440">
        <f>Sheet1!A440</f>
        <v>439</v>
      </c>
      <c r="B440" t="str">
        <f>Sheet1!B440</f>
        <v>KEMAYORAN</v>
      </c>
      <c r="C440" t="str">
        <f>Sheet1!C440</f>
        <v>Doni darmawan tikoalu</v>
      </c>
      <c r="D440" t="str">
        <f>Sheet1!D440</f>
        <v>ODRNO2607310169</v>
      </c>
      <c r="E440" t="str">
        <f>Sheet1!E440</f>
        <v>801PRS20260700978</v>
      </c>
      <c r="F440" t="str">
        <f>Sheet1!F440</f>
        <v>Sales Agent (SA)</v>
      </c>
      <c r="G440">
        <f>Sheet1!G440</f>
        <v>0</v>
      </c>
      <c r="H440">
        <f>Sheet1!H440</f>
        <v>0</v>
      </c>
      <c r="I440" t="str">
        <f>Sheet1!I440</f>
        <v>MUHAMMAD RIZQY KEMAL</v>
      </c>
      <c r="J440" s="2">
        <f>Sheet1!K440</f>
        <v>46234.651352349501</v>
      </c>
      <c r="K440" s="2">
        <f>Sheet1!L440</f>
        <v>46234.663597453698</v>
      </c>
      <c r="L440" t="str">
        <f>Sheet1!M440</f>
        <v>Drop Data by CA</v>
      </c>
      <c r="M440" t="str">
        <f>Sheet1!P440</f>
        <v>HONDA</v>
      </c>
      <c r="N440" t="str">
        <f>Sheet1!Q440</f>
        <v>2021</v>
      </c>
      <c r="O440">
        <f>Sheet1!AB440</f>
        <v>0</v>
      </c>
      <c r="P440" s="2">
        <f>Sheet1!AD440</f>
        <v>0</v>
      </c>
      <c r="Q440" t="str">
        <f>Sheet1!AI440</f>
        <v>ANDI BILLA SHAHZAD MACORA-0626005</v>
      </c>
      <c r="R440" t="str">
        <f>Sheet1!AJ440</f>
        <v/>
      </c>
      <c r="S440" t="str">
        <f>Sheet1!AK440</f>
        <v>Reject</v>
      </c>
      <c r="T440" t="str">
        <f>Sheet1!AL440</f>
        <v>SA</v>
      </c>
      <c r="U440">
        <f t="shared" si="6"/>
        <v>0</v>
      </c>
    </row>
    <row r="441" spans="1:21" x14ac:dyDescent="0.25">
      <c r="A441">
        <f>Sheet1!A441</f>
        <v>440</v>
      </c>
      <c r="B441" t="str">
        <f>Sheet1!B441</f>
        <v>KEMAYORAN</v>
      </c>
      <c r="C441" t="str">
        <f>Sheet1!C441</f>
        <v>ir arief ismunandar</v>
      </c>
      <c r="D441" t="str">
        <f>Sheet1!D441</f>
        <v>ODRNO2607310172</v>
      </c>
      <c r="E441" t="str">
        <f>Sheet1!E441</f>
        <v>801PRS20260700979</v>
      </c>
      <c r="F441" t="str">
        <f>Sheet1!F441</f>
        <v>Sales Agent (SA)</v>
      </c>
      <c r="G441">
        <f>Sheet1!G441</f>
        <v>0</v>
      </c>
      <c r="H441">
        <f>Sheet1!H441</f>
        <v>0</v>
      </c>
      <c r="I441" t="str">
        <f>Sheet1!I441</f>
        <v>MUHAMMAD RIZQY KEMAL</v>
      </c>
      <c r="J441" s="2">
        <f>Sheet1!K441</f>
        <v>46234.653901423597</v>
      </c>
      <c r="K441" s="2">
        <f>Sheet1!L441</f>
        <v>46234.670524537003</v>
      </c>
      <c r="L441" t="str">
        <f>Sheet1!M441</f>
        <v>Drop Data by CA</v>
      </c>
      <c r="M441" t="str">
        <f>Sheet1!P441</f>
        <v>HYUNDAI</v>
      </c>
      <c r="N441" t="str">
        <f>Sheet1!Q441</f>
        <v>2023</v>
      </c>
      <c r="O441">
        <f>Sheet1!AB441</f>
        <v>0</v>
      </c>
      <c r="P441" s="2">
        <f>Sheet1!AD441</f>
        <v>0</v>
      </c>
      <c r="Q441" t="str">
        <f>Sheet1!AI441</f>
        <v>ANANDA DEWI NARITA-0626020</v>
      </c>
      <c r="R441" t="str">
        <f>Sheet1!AJ441</f>
        <v/>
      </c>
      <c r="S441" t="str">
        <f>Sheet1!AK441</f>
        <v>Reject</v>
      </c>
      <c r="T441" t="str">
        <f>Sheet1!AL441</f>
        <v>SA</v>
      </c>
      <c r="U441">
        <f t="shared" si="6"/>
        <v>0</v>
      </c>
    </row>
    <row r="442" spans="1:21" x14ac:dyDescent="0.25">
      <c r="A442">
        <f>Sheet1!A442</f>
        <v>441</v>
      </c>
      <c r="B442" t="str">
        <f>Sheet1!B442</f>
        <v>KEMAYORAN</v>
      </c>
      <c r="C442" t="str">
        <f>Sheet1!C442</f>
        <v>qanita nurul dyana</v>
      </c>
      <c r="D442" t="str">
        <f>Sheet1!D442</f>
        <v>ODRNO2607310175</v>
      </c>
      <c r="E442" t="str">
        <f>Sheet1!E442</f>
        <v>801PRS20260700980</v>
      </c>
      <c r="F442" t="str">
        <f>Sheet1!F442</f>
        <v>Sales Agent (SA)</v>
      </c>
      <c r="G442">
        <f>Sheet1!G442</f>
        <v>0</v>
      </c>
      <c r="H442">
        <f>Sheet1!H442</f>
        <v>0</v>
      </c>
      <c r="I442" t="str">
        <f>Sheet1!I442</f>
        <v>MUHAMMAD RIZQY KEMAL</v>
      </c>
      <c r="J442" s="2">
        <f>Sheet1!K442</f>
        <v>46234.655879976897</v>
      </c>
      <c r="K442" s="2">
        <f>Sheet1!L442</f>
        <v>46234.670524733803</v>
      </c>
      <c r="L442" t="str">
        <f>Sheet1!M442</f>
        <v>Assignment Survey 1</v>
      </c>
      <c r="M442" t="str">
        <f>Sheet1!P442</f>
        <v>BMW</v>
      </c>
      <c r="N442" t="str">
        <f>Sheet1!Q442</f>
        <v>2019</v>
      </c>
      <c r="O442">
        <f>Sheet1!AB442</f>
        <v>0</v>
      </c>
      <c r="P442" s="2">
        <f>Sheet1!AD442</f>
        <v>0</v>
      </c>
      <c r="Q442" t="str">
        <f>Sheet1!AI442</f>
        <v>ANANDA DEWI NARITA-0626020</v>
      </c>
      <c r="R442" t="str">
        <f>Sheet1!AJ442</f>
        <v/>
      </c>
      <c r="S442" t="str">
        <f>Sheet1!AK442</f>
        <v>In Proses</v>
      </c>
      <c r="T442" t="str">
        <f>Sheet1!AL442</f>
        <v>SA</v>
      </c>
      <c r="U442">
        <f t="shared" si="6"/>
        <v>0</v>
      </c>
    </row>
    <row r="443" spans="1:21" x14ac:dyDescent="0.25">
      <c r="A443">
        <f>Sheet1!A443</f>
        <v>442</v>
      </c>
      <c r="B443" t="str">
        <f>Sheet1!B443</f>
        <v>KEMAYORAN</v>
      </c>
      <c r="C443" t="str">
        <f>Sheet1!C443</f>
        <v>Yana Suryana</v>
      </c>
      <c r="D443" t="str">
        <f>Sheet1!D443</f>
        <v>ODRNO2607310178</v>
      </c>
      <c r="E443" t="str">
        <f>Sheet1!E443</f>
        <v>801PRS20260700981</v>
      </c>
      <c r="F443" t="str">
        <f>Sheet1!F443</f>
        <v>Sales Agent (SA)</v>
      </c>
      <c r="G443">
        <f>Sheet1!G443</f>
        <v>0</v>
      </c>
      <c r="H443">
        <f>Sheet1!H443</f>
        <v>0</v>
      </c>
      <c r="I443" t="str">
        <f>Sheet1!I443</f>
        <v>MUHAMMAD RIZQY KEMAL</v>
      </c>
      <c r="J443" s="2">
        <f>Sheet1!K443</f>
        <v>46234.658198379599</v>
      </c>
      <c r="K443" s="2">
        <f>Sheet1!L443</f>
        <v>46234.670524965302</v>
      </c>
      <c r="L443" t="str">
        <f>Sheet1!M443</f>
        <v>Drop Data by CA</v>
      </c>
      <c r="M443" t="str">
        <f>Sheet1!P443</f>
        <v>NISSAN</v>
      </c>
      <c r="N443" t="str">
        <f>Sheet1!Q443</f>
        <v>2021</v>
      </c>
      <c r="O443">
        <f>Sheet1!AB443</f>
        <v>0</v>
      </c>
      <c r="P443" s="2">
        <f>Sheet1!AD443</f>
        <v>0</v>
      </c>
      <c r="Q443" t="str">
        <f>Sheet1!AI443</f>
        <v>ANDI BILLA SHAHZAD MACORA-0626005</v>
      </c>
      <c r="R443" t="str">
        <f>Sheet1!AJ443</f>
        <v/>
      </c>
      <c r="S443" t="str">
        <f>Sheet1!AK443</f>
        <v>Reject</v>
      </c>
      <c r="T443" t="str">
        <f>Sheet1!AL443</f>
        <v>SA</v>
      </c>
      <c r="U443">
        <f t="shared" si="6"/>
        <v>0</v>
      </c>
    </row>
    <row r="444" spans="1:21" x14ac:dyDescent="0.25">
      <c r="A444">
        <f>Sheet1!A444</f>
        <v>443</v>
      </c>
      <c r="B444" t="str">
        <f>Sheet1!B444</f>
        <v>KEMAYORAN</v>
      </c>
      <c r="C444" t="str">
        <f>Sheet1!C444</f>
        <v>Medalin oey</v>
      </c>
      <c r="D444" t="str">
        <f>Sheet1!D444</f>
        <v>ODRNO2607310180</v>
      </c>
      <c r="E444" t="str">
        <f>Sheet1!E444</f>
        <v>801PRS20260700982</v>
      </c>
      <c r="F444" t="str">
        <f>Sheet1!F444</f>
        <v>Sales Agent (SA)</v>
      </c>
      <c r="G444">
        <f>Sheet1!G444</f>
        <v>0</v>
      </c>
      <c r="H444">
        <f>Sheet1!H444</f>
        <v>0</v>
      </c>
      <c r="I444" t="str">
        <f>Sheet1!I444</f>
        <v>MUHAMMAD RIZQY KEMAL</v>
      </c>
      <c r="J444" s="2">
        <f>Sheet1!K444</f>
        <v>46234.659869872703</v>
      </c>
      <c r="K444" s="2">
        <f>Sheet1!L444</f>
        <v>46234.670525231501</v>
      </c>
      <c r="L444" t="str">
        <f>Sheet1!M444</f>
        <v>Drop Data by CA</v>
      </c>
      <c r="M444" t="str">
        <f>Sheet1!P444</f>
        <v>DAIHATSU</v>
      </c>
      <c r="N444" t="str">
        <f>Sheet1!Q444</f>
        <v>2022</v>
      </c>
      <c r="O444">
        <f>Sheet1!AB444</f>
        <v>0</v>
      </c>
      <c r="P444" s="2">
        <f>Sheet1!AD444</f>
        <v>0</v>
      </c>
      <c r="Q444" t="str">
        <f>Sheet1!AI444</f>
        <v>ANANDA DEWI NARITA-0626020</v>
      </c>
      <c r="R444" t="str">
        <f>Sheet1!AJ444</f>
        <v/>
      </c>
      <c r="S444" t="str">
        <f>Sheet1!AK444</f>
        <v>Reject</v>
      </c>
      <c r="T444" t="str">
        <f>Sheet1!AL444</f>
        <v>SA</v>
      </c>
      <c r="U444">
        <f t="shared" si="6"/>
        <v>0</v>
      </c>
    </row>
    <row r="445" spans="1:21" x14ac:dyDescent="0.25">
      <c r="A445">
        <f>Sheet1!A445</f>
        <v>444</v>
      </c>
      <c r="B445" t="str">
        <f>Sheet1!B445</f>
        <v>KEMAYORAN</v>
      </c>
      <c r="C445" t="str">
        <f>Sheet1!C445</f>
        <v>Eduward Parlindungan</v>
      </c>
      <c r="D445" t="str">
        <f>Sheet1!D445</f>
        <v>ODRNO2607310181</v>
      </c>
      <c r="E445" t="str">
        <f>Sheet1!E445</f>
        <v>801PRS20260700983</v>
      </c>
      <c r="F445" t="str">
        <f>Sheet1!F445</f>
        <v>Sales Agent (SA)</v>
      </c>
      <c r="G445">
        <f>Sheet1!G445</f>
        <v>0</v>
      </c>
      <c r="H445">
        <f>Sheet1!H445</f>
        <v>0</v>
      </c>
      <c r="I445" t="str">
        <f>Sheet1!I445</f>
        <v>MUHAMMAD RIZQY KEMAL</v>
      </c>
      <c r="J445" s="2">
        <f>Sheet1!K445</f>
        <v>46234.661662696803</v>
      </c>
      <c r="K445" s="2">
        <f>Sheet1!L445</f>
        <v>46234.670525497699</v>
      </c>
      <c r="L445" t="str">
        <f>Sheet1!M445</f>
        <v>Drop Data by CA</v>
      </c>
      <c r="M445" t="str">
        <f>Sheet1!P445</f>
        <v>HONDA</v>
      </c>
      <c r="N445" t="str">
        <f>Sheet1!Q445</f>
        <v>2020</v>
      </c>
      <c r="O445">
        <f>Sheet1!AB445</f>
        <v>0</v>
      </c>
      <c r="P445" s="2">
        <f>Sheet1!AD445</f>
        <v>0</v>
      </c>
      <c r="Q445" t="str">
        <f>Sheet1!AI445</f>
        <v>ANDI BILLA SHAHZAD MACORA-0626005</v>
      </c>
      <c r="R445" t="str">
        <f>Sheet1!AJ445</f>
        <v/>
      </c>
      <c r="S445" t="str">
        <f>Sheet1!AK445</f>
        <v>Reject</v>
      </c>
      <c r="T445" t="str">
        <f>Sheet1!AL445</f>
        <v>SA</v>
      </c>
      <c r="U445">
        <f t="shared" si="6"/>
        <v>0</v>
      </c>
    </row>
    <row r="446" spans="1:21" x14ac:dyDescent="0.25">
      <c r="A446">
        <f>Sheet1!A446</f>
        <v>445</v>
      </c>
      <c r="B446" t="str">
        <f>Sheet1!B446</f>
        <v>KEMAYORAN</v>
      </c>
      <c r="C446" t="str">
        <f>Sheet1!C446</f>
        <v>Erlangga</v>
      </c>
      <c r="D446" t="str">
        <f>Sheet1!D446</f>
        <v>ODRNO2607310182</v>
      </c>
      <c r="E446" t="str">
        <f>Sheet1!E446</f>
        <v>801PRS20260700984</v>
      </c>
      <c r="F446" t="str">
        <f>Sheet1!F446</f>
        <v>Sales Agent (SA)</v>
      </c>
      <c r="G446">
        <f>Sheet1!G446</f>
        <v>0</v>
      </c>
      <c r="H446">
        <f>Sheet1!H446</f>
        <v>0</v>
      </c>
      <c r="I446" t="str">
        <f>Sheet1!I446</f>
        <v>MUHAMMAD RIZQY KEMAL</v>
      </c>
      <c r="J446" s="2">
        <f>Sheet1!K446</f>
        <v>46234.663772256899</v>
      </c>
      <c r="K446" s="2">
        <f>Sheet1!L446</f>
        <v>46234.680945405104</v>
      </c>
      <c r="L446" t="str">
        <f>Sheet1!M446</f>
        <v>Drop Data by CA</v>
      </c>
      <c r="M446" t="str">
        <f>Sheet1!P446</f>
        <v>HONDA</v>
      </c>
      <c r="N446" t="str">
        <f>Sheet1!Q446</f>
        <v>2020</v>
      </c>
      <c r="O446">
        <f>Sheet1!AB446</f>
        <v>0</v>
      </c>
      <c r="P446" s="2">
        <f>Sheet1!AD446</f>
        <v>0</v>
      </c>
      <c r="Q446" t="str">
        <f>Sheet1!AI446</f>
        <v>ANDI BILLA SHAHZAD MACORA-0626005</v>
      </c>
      <c r="R446" t="str">
        <f>Sheet1!AJ446</f>
        <v/>
      </c>
      <c r="S446" t="str">
        <f>Sheet1!AK446</f>
        <v>Reject</v>
      </c>
      <c r="T446" t="str">
        <f>Sheet1!AL446</f>
        <v>SA</v>
      </c>
      <c r="U446">
        <f t="shared" si="6"/>
        <v>0</v>
      </c>
    </row>
    <row r="447" spans="1:21" x14ac:dyDescent="0.25">
      <c r="A447">
        <f>Sheet1!A447</f>
        <v>446</v>
      </c>
      <c r="B447" t="str">
        <f>Sheet1!B447</f>
        <v>KEMAYORAN</v>
      </c>
      <c r="C447" t="str">
        <f>Sheet1!C447</f>
        <v>Irwan</v>
      </c>
      <c r="D447" t="str">
        <f>Sheet1!D447</f>
        <v>ODRNO2607310186</v>
      </c>
      <c r="E447" t="str">
        <f>Sheet1!E447</f>
        <v>801PRS20260700985</v>
      </c>
      <c r="F447" t="str">
        <f>Sheet1!F447</f>
        <v>Sales Agent (SA)</v>
      </c>
      <c r="G447">
        <f>Sheet1!G447</f>
        <v>0</v>
      </c>
      <c r="H447">
        <f>Sheet1!H447</f>
        <v>0</v>
      </c>
      <c r="I447" t="str">
        <f>Sheet1!I447</f>
        <v>MUHAMMAD RIZQY KEMAL</v>
      </c>
      <c r="J447" s="2">
        <f>Sheet1!K447</f>
        <v>46234.668185300899</v>
      </c>
      <c r="K447" s="2">
        <f>Sheet1!L447</f>
        <v>46234.680946840301</v>
      </c>
      <c r="L447" t="str">
        <f>Sheet1!M447</f>
        <v>Assignment Survey 1</v>
      </c>
      <c r="M447" t="str">
        <f>Sheet1!P447</f>
        <v>TOYOTA</v>
      </c>
      <c r="N447" t="str">
        <f>Sheet1!Q447</f>
        <v>2023</v>
      </c>
      <c r="O447">
        <f>Sheet1!AB447</f>
        <v>0</v>
      </c>
      <c r="P447" s="2">
        <f>Sheet1!AD447</f>
        <v>0</v>
      </c>
      <c r="Q447" t="str">
        <f>Sheet1!AI447</f>
        <v>ANANDA DEWI NARITA-0626020</v>
      </c>
      <c r="R447" t="str">
        <f>Sheet1!AJ447</f>
        <v/>
      </c>
      <c r="S447" t="str">
        <f>Sheet1!AK447</f>
        <v>In Proses</v>
      </c>
      <c r="T447" t="str">
        <f>Sheet1!AL447</f>
        <v>SA</v>
      </c>
      <c r="U447">
        <f t="shared" si="6"/>
        <v>0</v>
      </c>
    </row>
    <row r="448" spans="1:21" x14ac:dyDescent="0.25">
      <c r="A448">
        <f>Sheet1!A448</f>
        <v>447</v>
      </c>
      <c r="B448" t="str">
        <f>Sheet1!B448</f>
        <v>KEMAYORAN</v>
      </c>
      <c r="C448" t="str">
        <f>Sheet1!C448</f>
        <v>Emy Febriani</v>
      </c>
      <c r="D448" t="str">
        <f>Sheet1!D448</f>
        <v>ODRNO2607310188</v>
      </c>
      <c r="E448" t="str">
        <f>Sheet1!E448</f>
        <v>801PRS20260700986</v>
      </c>
      <c r="F448" t="str">
        <f>Sheet1!F448</f>
        <v>Sales Agent (SA)</v>
      </c>
      <c r="G448">
        <f>Sheet1!G448</f>
        <v>0</v>
      </c>
      <c r="H448">
        <f>Sheet1!H448</f>
        <v>0</v>
      </c>
      <c r="I448" t="str">
        <f>Sheet1!I448</f>
        <v>MUHAMMAD RIZQY KEMAL</v>
      </c>
      <c r="J448" s="2">
        <f>Sheet1!K448</f>
        <v>46234.673884259297</v>
      </c>
      <c r="K448" s="2">
        <f>Sheet1!L448</f>
        <v>46234.687557719903</v>
      </c>
      <c r="L448" t="str">
        <f>Sheet1!M448</f>
        <v>Must Edit Prospect on Confins</v>
      </c>
      <c r="M448" t="str">
        <f>Sheet1!P448</f>
        <v>HONDA</v>
      </c>
      <c r="N448" t="str">
        <f>Sheet1!Q448</f>
        <v>2021</v>
      </c>
      <c r="O448">
        <f>Sheet1!AB448</f>
        <v>0</v>
      </c>
      <c r="P448" s="2">
        <f>Sheet1!AD448</f>
        <v>0</v>
      </c>
      <c r="Q448" t="str">
        <f>Sheet1!AI448</f>
        <v>ANANDA DEWI NARITA-0626020</v>
      </c>
      <c r="R448" t="str">
        <f>Sheet1!AJ448</f>
        <v/>
      </c>
      <c r="S448" t="str">
        <f>Sheet1!AK448</f>
        <v>In Proses</v>
      </c>
      <c r="T448" t="str">
        <f>Sheet1!AL448</f>
        <v>SA</v>
      </c>
      <c r="U448">
        <f t="shared" si="6"/>
        <v>0</v>
      </c>
    </row>
    <row r="449" spans="1:21" x14ac:dyDescent="0.25">
      <c r="A449">
        <f>Sheet1!A449</f>
        <v>448</v>
      </c>
      <c r="B449" t="str">
        <f>Sheet1!B449</f>
        <v>KEMAYORAN</v>
      </c>
      <c r="C449" t="str">
        <f>Sheet1!C449</f>
        <v>euis suprianti</v>
      </c>
      <c r="D449" t="str">
        <f>Sheet1!D449</f>
        <v>ODRNO2607310191</v>
      </c>
      <c r="E449" t="str">
        <f>Sheet1!E449</f>
        <v>801PRS20260700987</v>
      </c>
      <c r="F449" t="str">
        <f>Sheet1!F449</f>
        <v>Sales Agent (SA)</v>
      </c>
      <c r="G449">
        <f>Sheet1!G449</f>
        <v>0</v>
      </c>
      <c r="H449">
        <f>Sheet1!H449</f>
        <v>0</v>
      </c>
      <c r="I449" t="str">
        <f>Sheet1!I449</f>
        <v>MUHAMMAD RIZQY KEMAL</v>
      </c>
      <c r="J449" s="2">
        <f>Sheet1!K449</f>
        <v>46234.6772913194</v>
      </c>
      <c r="K449" s="2">
        <f>Sheet1!L449</f>
        <v>46234.684062071799</v>
      </c>
      <c r="L449" t="str">
        <f>Sheet1!M449</f>
        <v>Drop Data by CA</v>
      </c>
      <c r="M449" t="str">
        <f>Sheet1!P449</f>
        <v>HONDA</v>
      </c>
      <c r="N449" t="str">
        <f>Sheet1!Q449</f>
        <v>2020</v>
      </c>
      <c r="O449">
        <f>Sheet1!AB449</f>
        <v>0</v>
      </c>
      <c r="P449" s="2">
        <f>Sheet1!AD449</f>
        <v>0</v>
      </c>
      <c r="Q449" t="str">
        <f>Sheet1!AI449</f>
        <v>ANANDA DEWI NARITA-0626020</v>
      </c>
      <c r="R449" t="str">
        <f>Sheet1!AJ449</f>
        <v/>
      </c>
      <c r="S449" t="str">
        <f>Sheet1!AK449</f>
        <v>Reject</v>
      </c>
      <c r="T449" t="str">
        <f>Sheet1!AL449</f>
        <v>SA</v>
      </c>
      <c r="U449">
        <f t="shared" si="6"/>
        <v>0</v>
      </c>
    </row>
    <row r="450" spans="1:21" x14ac:dyDescent="0.25">
      <c r="A450">
        <f>Sheet1!A450</f>
        <v>449</v>
      </c>
      <c r="B450" t="str">
        <f>Sheet1!B450</f>
        <v>KEMAYORAN</v>
      </c>
      <c r="C450" t="str">
        <f>Sheet1!C450</f>
        <v>Nurul Tiara Pulungan</v>
      </c>
      <c r="D450" t="str">
        <f>Sheet1!D450</f>
        <v>ODRNO2607310193</v>
      </c>
      <c r="E450" t="str">
        <f>Sheet1!E450</f>
        <v>801PRS20260700988</v>
      </c>
      <c r="F450" t="str">
        <f>Sheet1!F450</f>
        <v>Sales Agent (SA)</v>
      </c>
      <c r="G450">
        <f>Sheet1!G450</f>
        <v>0</v>
      </c>
      <c r="H450">
        <f>Sheet1!H450</f>
        <v>0</v>
      </c>
      <c r="I450" t="str">
        <f>Sheet1!I450</f>
        <v>MUHAMMAD RIZQY KEMAL</v>
      </c>
      <c r="J450" s="2">
        <f>Sheet1!K450</f>
        <v>46234.683650034698</v>
      </c>
      <c r="K450" s="2">
        <f>Sheet1!L450</f>
        <v>46234.691384953701</v>
      </c>
      <c r="L450" t="str">
        <f>Sheet1!M450</f>
        <v>Must Edit Prospect on Confins</v>
      </c>
      <c r="M450" t="str">
        <f>Sheet1!P450</f>
        <v>DAIHATSU</v>
      </c>
      <c r="N450" t="str">
        <f>Sheet1!Q450</f>
        <v>2021</v>
      </c>
      <c r="O450">
        <f>Sheet1!AB450</f>
        <v>0</v>
      </c>
      <c r="P450" s="2">
        <f>Sheet1!AD450</f>
        <v>0</v>
      </c>
      <c r="Q450" t="str">
        <f>Sheet1!AI450</f>
        <v>ANDI BILLA SHAHZAD MACORA-0626005</v>
      </c>
      <c r="R450" t="str">
        <f>Sheet1!AJ450</f>
        <v/>
      </c>
      <c r="S450" t="str">
        <f>Sheet1!AK450</f>
        <v>In Proses</v>
      </c>
      <c r="T450" t="str">
        <f>Sheet1!AL450</f>
        <v>SA</v>
      </c>
      <c r="U450">
        <f t="shared" si="6"/>
        <v>0</v>
      </c>
    </row>
    <row r="451" spans="1:21" x14ac:dyDescent="0.25">
      <c r="A451">
        <f>Sheet1!A451</f>
        <v>450</v>
      </c>
      <c r="B451" t="str">
        <f>Sheet1!B451</f>
        <v>LAMPUNG</v>
      </c>
      <c r="C451" t="str">
        <f>Sheet1!C451</f>
        <v>sepi isri nafisah</v>
      </c>
      <c r="D451" t="str">
        <f>Sheet1!D451</f>
        <v>ODRNO2607310058</v>
      </c>
      <c r="E451" t="str">
        <f>Sheet1!E451</f>
        <v>810PRS20260700758</v>
      </c>
      <c r="F451" t="str">
        <f>Sheet1!F451</f>
        <v>Sales Agent (SA)</v>
      </c>
      <c r="G451">
        <f>Sheet1!G451</f>
        <v>0</v>
      </c>
      <c r="H451">
        <f>Sheet1!H451</f>
        <v>0</v>
      </c>
      <c r="I451" t="str">
        <f>Sheet1!I451</f>
        <v>AZWAN</v>
      </c>
      <c r="J451" s="2">
        <f>Sheet1!K451</f>
        <v>46234.435963773103</v>
      </c>
      <c r="K451" s="2">
        <f>Sheet1!L451</f>
        <v>46234.4480126157</v>
      </c>
      <c r="L451" t="str">
        <f>Sheet1!M451</f>
        <v>Drop Data by CA</v>
      </c>
      <c r="M451" t="str">
        <f>Sheet1!P451</f>
        <v>TOYOTA</v>
      </c>
      <c r="N451" t="str">
        <f>Sheet1!Q451</f>
        <v>2020</v>
      </c>
      <c r="O451">
        <f>Sheet1!AB451</f>
        <v>0</v>
      </c>
      <c r="P451" s="2">
        <f>Sheet1!AD451</f>
        <v>0</v>
      </c>
      <c r="Q451" t="str">
        <f>Sheet1!AI451</f>
        <v>BADILLAH NUR YUNUS-126123</v>
      </c>
      <c r="R451" t="str">
        <f>Sheet1!AJ451</f>
        <v/>
      </c>
      <c r="S451" t="str">
        <f>Sheet1!AK451</f>
        <v>Reject</v>
      </c>
      <c r="T451" t="str">
        <f>Sheet1!AL451</f>
        <v>SA</v>
      </c>
      <c r="U451">
        <f t="shared" ref="U451:U476" si="7">IF(H451=0,0,"Done Survey")</f>
        <v>0</v>
      </c>
    </row>
    <row r="452" spans="1:21" x14ac:dyDescent="0.25">
      <c r="A452">
        <f>Sheet1!A452</f>
        <v>451</v>
      </c>
      <c r="B452" t="str">
        <f>Sheet1!B452</f>
        <v>LAMPUNG</v>
      </c>
      <c r="C452" t="str">
        <f>Sheet1!C452</f>
        <v xml:space="preserve">kandarsyah se </v>
      </c>
      <c r="D452" t="str">
        <f>Sheet1!D452</f>
        <v>ODRNO2607310119</v>
      </c>
      <c r="E452" t="str">
        <f>Sheet1!E452</f>
        <v>810PRS20260700759</v>
      </c>
      <c r="F452" t="str">
        <f>Sheet1!F452</f>
        <v>LandingPage</v>
      </c>
      <c r="G452">
        <f>Sheet1!G452</f>
        <v>0</v>
      </c>
      <c r="H452">
        <f>Sheet1!H452</f>
        <v>0</v>
      </c>
      <c r="I452" t="str">
        <f>Sheet1!I452</f>
        <v>AZWAN</v>
      </c>
      <c r="J452" s="2">
        <f>Sheet1!K452</f>
        <v>46234.568856134298</v>
      </c>
      <c r="K452" s="2">
        <f>Sheet1!L452</f>
        <v>46234.572997604198</v>
      </c>
      <c r="L452" t="str">
        <f>Sheet1!M452</f>
        <v>Drop Data by CA</v>
      </c>
      <c r="M452" t="str">
        <f>Sheet1!P452</f>
        <v>TOYOTA</v>
      </c>
      <c r="N452" t="str">
        <f>Sheet1!Q452</f>
        <v>2019</v>
      </c>
      <c r="O452">
        <f>Sheet1!AB452</f>
        <v>0</v>
      </c>
      <c r="P452" s="2">
        <f>Sheet1!AD452</f>
        <v>0</v>
      </c>
      <c r="Q452">
        <f>Sheet1!AI452</f>
        <v>0</v>
      </c>
      <c r="R452">
        <f>Sheet1!AJ452</f>
        <v>0</v>
      </c>
      <c r="S452" t="str">
        <f>Sheet1!AK452</f>
        <v>Reject</v>
      </c>
      <c r="T452" t="str">
        <f>Sheet1!AL452</f>
        <v>SA</v>
      </c>
      <c r="U452">
        <f t="shared" si="7"/>
        <v>0</v>
      </c>
    </row>
    <row r="453" spans="1:21" x14ac:dyDescent="0.25">
      <c r="A453">
        <f>Sheet1!A453</f>
        <v>452</v>
      </c>
      <c r="B453" t="str">
        <f>Sheet1!B453</f>
        <v>LAMPUNG</v>
      </c>
      <c r="C453" t="str">
        <f>Sheet1!C453</f>
        <v>nur hayati</v>
      </c>
      <c r="D453" t="str">
        <f>Sheet1!D453</f>
        <v>ODRNO2607310126</v>
      </c>
      <c r="E453" t="str">
        <f>Sheet1!E453</f>
        <v>810PRS20260700760</v>
      </c>
      <c r="F453" t="str">
        <f>Sheet1!F453</f>
        <v>Sales Agent (SA)</v>
      </c>
      <c r="G453">
        <f>Sheet1!G453</f>
        <v>0</v>
      </c>
      <c r="H453">
        <f>Sheet1!H453</f>
        <v>0</v>
      </c>
      <c r="I453" t="str">
        <f>Sheet1!I453</f>
        <v>AZWAN</v>
      </c>
      <c r="J453" s="2">
        <f>Sheet1!K453</f>
        <v>46234.577299421297</v>
      </c>
      <c r="K453" s="2">
        <f>Sheet1!L453</f>
        <v>46234.594275266201</v>
      </c>
      <c r="L453" t="str">
        <f>Sheet1!M453</f>
        <v>Assignment Survey 1</v>
      </c>
      <c r="M453" t="str">
        <f>Sheet1!P453</f>
        <v>TOYOTA</v>
      </c>
      <c r="N453" t="str">
        <f>Sheet1!Q453</f>
        <v>2015</v>
      </c>
      <c r="O453">
        <f>Sheet1!AB453</f>
        <v>0</v>
      </c>
      <c r="P453" s="2">
        <f>Sheet1!AD453</f>
        <v>0</v>
      </c>
      <c r="Q453" t="str">
        <f>Sheet1!AI453</f>
        <v>HENDI KURNIAWAN-126018</v>
      </c>
      <c r="R453" t="str">
        <f>Sheet1!AJ453</f>
        <v/>
      </c>
      <c r="S453" t="str">
        <f>Sheet1!AK453</f>
        <v>In Proses</v>
      </c>
      <c r="T453" t="str">
        <f>Sheet1!AL453</f>
        <v>SA</v>
      </c>
      <c r="U453">
        <f t="shared" si="7"/>
        <v>0</v>
      </c>
    </row>
    <row r="454" spans="1:21" x14ac:dyDescent="0.25">
      <c r="A454">
        <f>Sheet1!A454</f>
        <v>453</v>
      </c>
      <c r="B454" t="str">
        <f>Sheet1!B454</f>
        <v>LAMPUNG</v>
      </c>
      <c r="C454" t="str">
        <f>Sheet1!C454</f>
        <v>muchzan zain</v>
      </c>
      <c r="D454" t="str">
        <f>Sheet1!D454</f>
        <v>ODRNO2607310135</v>
      </c>
      <c r="E454" t="str">
        <f>Sheet1!E454</f>
        <v>810PRS20260700763</v>
      </c>
      <c r="F454" t="str">
        <f>Sheet1!F454</f>
        <v>Sales Agent (SA)</v>
      </c>
      <c r="G454">
        <f>Sheet1!G454</f>
        <v>0</v>
      </c>
      <c r="H454">
        <f>Sheet1!H454</f>
        <v>0</v>
      </c>
      <c r="I454" t="str">
        <f>Sheet1!I454</f>
        <v>AZWAN</v>
      </c>
      <c r="J454" s="2">
        <f>Sheet1!K454</f>
        <v>46234.586957951396</v>
      </c>
      <c r="K454" s="2">
        <f>Sheet1!L454</f>
        <v>46234.600741169001</v>
      </c>
      <c r="L454" t="str">
        <f>Sheet1!M454</f>
        <v>Drop Data by CA</v>
      </c>
      <c r="M454" t="str">
        <f>Sheet1!P454</f>
        <v>HONDA</v>
      </c>
      <c r="N454" t="str">
        <f>Sheet1!Q454</f>
        <v>2019</v>
      </c>
      <c r="O454">
        <f>Sheet1!AB454</f>
        <v>0</v>
      </c>
      <c r="P454" s="2">
        <f>Sheet1!AD454</f>
        <v>0</v>
      </c>
      <c r="Q454" t="str">
        <f>Sheet1!AI454</f>
        <v>BADILLAH NUR YUNUS-126123</v>
      </c>
      <c r="R454" t="str">
        <f>Sheet1!AJ454</f>
        <v/>
      </c>
      <c r="S454" t="str">
        <f>Sheet1!AK454</f>
        <v>Reject</v>
      </c>
      <c r="T454" t="str">
        <f>Sheet1!AL454</f>
        <v>SA</v>
      </c>
      <c r="U454">
        <f t="shared" si="7"/>
        <v>0</v>
      </c>
    </row>
    <row r="455" spans="1:21" x14ac:dyDescent="0.25">
      <c r="A455">
        <f>Sheet1!A455</f>
        <v>454</v>
      </c>
      <c r="B455" t="str">
        <f>Sheet1!B455</f>
        <v>LAMPUNG</v>
      </c>
      <c r="C455" t="str">
        <f>Sheet1!C455</f>
        <v>lia septina</v>
      </c>
      <c r="D455" t="str">
        <f>Sheet1!D455</f>
        <v>ODRNO2607310137</v>
      </c>
      <c r="E455" t="str">
        <f>Sheet1!E455</f>
        <v>810PRS20260700764</v>
      </c>
      <c r="F455" t="str">
        <f>Sheet1!F455</f>
        <v>Sales Agent (SA)</v>
      </c>
      <c r="G455">
        <f>Sheet1!G455</f>
        <v>0</v>
      </c>
      <c r="H455">
        <f>Sheet1!H455</f>
        <v>0</v>
      </c>
      <c r="I455" t="str">
        <f>Sheet1!I455</f>
        <v>AZWAN</v>
      </c>
      <c r="J455" s="2">
        <f>Sheet1!K455</f>
        <v>46234.592106053198</v>
      </c>
      <c r="K455" s="2">
        <f>Sheet1!L455</f>
        <v>46234.604223645802</v>
      </c>
      <c r="L455" t="str">
        <f>Sheet1!M455</f>
        <v>Drop Data by CA</v>
      </c>
      <c r="M455" t="str">
        <f>Sheet1!P455</f>
        <v>HONDA</v>
      </c>
      <c r="N455" t="str">
        <f>Sheet1!Q455</f>
        <v>2019</v>
      </c>
      <c r="O455">
        <f>Sheet1!AB455</f>
        <v>0</v>
      </c>
      <c r="P455" s="2">
        <f>Sheet1!AD455</f>
        <v>0</v>
      </c>
      <c r="Q455" t="str">
        <f>Sheet1!AI455</f>
        <v>HENDI KURNIAWAN-126018</v>
      </c>
      <c r="R455" t="str">
        <f>Sheet1!AJ455</f>
        <v/>
      </c>
      <c r="S455" t="str">
        <f>Sheet1!AK455</f>
        <v>Reject</v>
      </c>
      <c r="T455" t="str">
        <f>Sheet1!AL455</f>
        <v>SA</v>
      </c>
      <c r="U455">
        <f t="shared" si="7"/>
        <v>0</v>
      </c>
    </row>
    <row r="456" spans="1:21" x14ac:dyDescent="0.25">
      <c r="A456">
        <f>Sheet1!A456</f>
        <v>455</v>
      </c>
      <c r="B456" t="str">
        <f>Sheet1!B456</f>
        <v>LAMPUNG</v>
      </c>
      <c r="C456" t="str">
        <f>Sheet1!C456</f>
        <v>erik yanwar</v>
      </c>
      <c r="D456" t="str">
        <f>Sheet1!D456</f>
        <v>ODRNO2607310138</v>
      </c>
      <c r="E456" t="str">
        <f>Sheet1!E456</f>
        <v>810PRS20260700765</v>
      </c>
      <c r="F456" t="str">
        <f>Sheet1!F456</f>
        <v>Sales Agent (SA)</v>
      </c>
      <c r="G456">
        <f>Sheet1!G456</f>
        <v>0</v>
      </c>
      <c r="H456">
        <f>Sheet1!H456</f>
        <v>0</v>
      </c>
      <c r="I456" t="str">
        <f>Sheet1!I456</f>
        <v>AZWAN</v>
      </c>
      <c r="J456" s="2">
        <f>Sheet1!K456</f>
        <v>46234.597169641202</v>
      </c>
      <c r="K456" s="2">
        <f>Sheet1!L456</f>
        <v>46234.618325960597</v>
      </c>
      <c r="L456" t="str">
        <f>Sheet1!M456</f>
        <v>Drop Data by CA</v>
      </c>
      <c r="M456" t="str">
        <f>Sheet1!P456</f>
        <v>DAIHATSU</v>
      </c>
      <c r="N456" t="str">
        <f>Sheet1!Q456</f>
        <v>2019</v>
      </c>
      <c r="O456">
        <f>Sheet1!AB456</f>
        <v>0</v>
      </c>
      <c r="P456" s="2">
        <f>Sheet1!AD456</f>
        <v>0</v>
      </c>
      <c r="Q456" t="str">
        <f>Sheet1!AI456</f>
        <v>CATUR MARDIYANTO-226006</v>
      </c>
      <c r="R456" t="str">
        <f>Sheet1!AJ456</f>
        <v/>
      </c>
      <c r="S456" t="str">
        <f>Sheet1!AK456</f>
        <v>Reject</v>
      </c>
      <c r="T456" t="str">
        <f>Sheet1!AL456</f>
        <v>SA</v>
      </c>
      <c r="U456">
        <f t="shared" si="7"/>
        <v>0</v>
      </c>
    </row>
    <row r="457" spans="1:21" x14ac:dyDescent="0.25">
      <c r="A457">
        <f>Sheet1!A457</f>
        <v>456</v>
      </c>
      <c r="B457" t="str">
        <f>Sheet1!B457</f>
        <v>LAMPUNG</v>
      </c>
      <c r="C457" t="str">
        <f>Sheet1!C457</f>
        <v>alkausar</v>
      </c>
      <c r="D457" t="str">
        <f>Sheet1!D457</f>
        <v>ODRNO2607310141</v>
      </c>
      <c r="E457" t="str">
        <f>Sheet1!E457</f>
        <v>810PRS20260700766</v>
      </c>
      <c r="F457" t="str">
        <f>Sheet1!F457</f>
        <v>Sales Agent (SA)</v>
      </c>
      <c r="G457">
        <f>Sheet1!G457</f>
        <v>0</v>
      </c>
      <c r="H457">
        <f>Sheet1!H457</f>
        <v>0</v>
      </c>
      <c r="I457" t="str">
        <f>Sheet1!I457</f>
        <v>AZWAN</v>
      </c>
      <c r="J457" s="2">
        <f>Sheet1!K457</f>
        <v>46234.601930173601</v>
      </c>
      <c r="K457" s="2">
        <f>Sheet1!L457</f>
        <v>46234.618327199103</v>
      </c>
      <c r="L457" t="str">
        <f>Sheet1!M457</f>
        <v>Must Edit Prospect on Confins</v>
      </c>
      <c r="M457" t="str">
        <f>Sheet1!P457</f>
        <v>TOYOTA</v>
      </c>
      <c r="N457" t="str">
        <f>Sheet1!Q457</f>
        <v>2018</v>
      </c>
      <c r="O457">
        <f>Sheet1!AB457</f>
        <v>0</v>
      </c>
      <c r="P457" s="2">
        <f>Sheet1!AD457</f>
        <v>0</v>
      </c>
      <c r="Q457" t="str">
        <f>Sheet1!AI457</f>
        <v>BADILLAH NUR YUNUS-126123</v>
      </c>
      <c r="R457" t="str">
        <f>Sheet1!AJ457</f>
        <v/>
      </c>
      <c r="S457" t="str">
        <f>Sheet1!AK457</f>
        <v>In Proses</v>
      </c>
      <c r="T457" t="str">
        <f>Sheet1!AL457</f>
        <v>SA</v>
      </c>
      <c r="U457">
        <f t="shared" si="7"/>
        <v>0</v>
      </c>
    </row>
    <row r="458" spans="1:21" x14ac:dyDescent="0.25">
      <c r="A458">
        <f>Sheet1!A458</f>
        <v>457</v>
      </c>
      <c r="B458" t="str">
        <f>Sheet1!B458</f>
        <v>LAMPUNG</v>
      </c>
      <c r="C458" t="str">
        <f>Sheet1!C458</f>
        <v>yusuf adi putra</v>
      </c>
      <c r="D458" t="str">
        <f>Sheet1!D458</f>
        <v>ODRNO2607310143</v>
      </c>
      <c r="E458" t="str">
        <f>Sheet1!E458</f>
        <v>810PRS20260700767</v>
      </c>
      <c r="F458" t="str">
        <f>Sheet1!F458</f>
        <v>Sales Agent (SA)</v>
      </c>
      <c r="G458">
        <f>Sheet1!G458</f>
        <v>0</v>
      </c>
      <c r="H458">
        <f>Sheet1!H458</f>
        <v>0</v>
      </c>
      <c r="I458" t="str">
        <f>Sheet1!I458</f>
        <v>AZWAN</v>
      </c>
      <c r="J458" s="2">
        <f>Sheet1!K458</f>
        <v>46234.605297453701</v>
      </c>
      <c r="K458" s="2">
        <f>Sheet1!L458</f>
        <v>46234.611679664398</v>
      </c>
      <c r="L458" t="str">
        <f>Sheet1!M458</f>
        <v>Drop Data by CA</v>
      </c>
      <c r="M458" t="str">
        <f>Sheet1!P458</f>
        <v>TOYOTA</v>
      </c>
      <c r="N458" t="str">
        <f>Sheet1!Q458</f>
        <v>2017</v>
      </c>
      <c r="O458">
        <f>Sheet1!AB458</f>
        <v>0</v>
      </c>
      <c r="P458" s="2">
        <f>Sheet1!AD458</f>
        <v>0</v>
      </c>
      <c r="Q458" t="str">
        <f>Sheet1!AI458</f>
        <v>CATUR MARDIYANTO-226006</v>
      </c>
      <c r="R458" t="str">
        <f>Sheet1!AJ458</f>
        <v/>
      </c>
      <c r="S458" t="str">
        <f>Sheet1!AK458</f>
        <v>Reject</v>
      </c>
      <c r="T458" t="str">
        <f>Sheet1!AL458</f>
        <v>SA</v>
      </c>
      <c r="U458">
        <f t="shared" si="7"/>
        <v>0</v>
      </c>
    </row>
    <row r="459" spans="1:21" x14ac:dyDescent="0.25">
      <c r="A459">
        <f>Sheet1!A459</f>
        <v>458</v>
      </c>
      <c r="B459" t="str">
        <f>Sheet1!B459</f>
        <v>MEDAN DUA</v>
      </c>
      <c r="C459" t="str">
        <f>Sheet1!C459</f>
        <v>INDRA LESMANA</v>
      </c>
      <c r="D459" t="str">
        <f>Sheet1!D459</f>
        <v>ODRNO2607310048</v>
      </c>
      <c r="E459" t="str">
        <f>Sheet1!E459</f>
        <v>839PRS20260701004</v>
      </c>
      <c r="F459" t="str">
        <f>Sheet1!F459</f>
        <v>Sales Agent (SA)</v>
      </c>
      <c r="G459">
        <f>Sheet1!G459</f>
        <v>0</v>
      </c>
      <c r="H459">
        <f>Sheet1!H459</f>
        <v>0</v>
      </c>
      <c r="I459" t="str">
        <f>Sheet1!I459</f>
        <v>WASTO SIHOMBING</v>
      </c>
      <c r="J459" s="2">
        <f>Sheet1!K459</f>
        <v>46234.426825115697</v>
      </c>
      <c r="K459" s="2">
        <f>Sheet1!L459</f>
        <v>46234.4306174421</v>
      </c>
      <c r="L459" t="str">
        <f>Sheet1!M459</f>
        <v>Assignment Survey 1</v>
      </c>
      <c r="M459" t="str">
        <f>Sheet1!P459</f>
        <v>TOYOTA</v>
      </c>
      <c r="N459" t="str">
        <f>Sheet1!Q459</f>
        <v>2019</v>
      </c>
      <c r="O459">
        <f>Sheet1!AB459</f>
        <v>0</v>
      </c>
      <c r="P459" s="2">
        <f>Sheet1!AD459</f>
        <v>0</v>
      </c>
      <c r="Q459" t="str">
        <f>Sheet1!AI459</f>
        <v>ALEXANDER SIREGAR-126373</v>
      </c>
      <c r="R459" t="str">
        <f>Sheet1!AJ459</f>
        <v/>
      </c>
      <c r="S459" t="str">
        <f>Sheet1!AK459</f>
        <v>In Proses</v>
      </c>
      <c r="T459" t="str">
        <f>Sheet1!AL459</f>
        <v>SA</v>
      </c>
      <c r="U459">
        <f t="shared" si="7"/>
        <v>0</v>
      </c>
    </row>
    <row r="460" spans="1:21" x14ac:dyDescent="0.25">
      <c r="A460">
        <f>Sheet1!A460</f>
        <v>459</v>
      </c>
      <c r="B460" t="str">
        <f>Sheet1!B460</f>
        <v>MEDAN DUA</v>
      </c>
      <c r="C460" t="str">
        <f>Sheet1!C460</f>
        <v>HENDRA</v>
      </c>
      <c r="D460" t="str">
        <f>Sheet1!D460</f>
        <v>ODRNO2607310050</v>
      </c>
      <c r="E460" t="str">
        <f>Sheet1!E460</f>
        <v>839PRS20260701005</v>
      </c>
      <c r="F460" t="str">
        <f>Sheet1!F460</f>
        <v>Sales Agent (SA)</v>
      </c>
      <c r="G460">
        <f>Sheet1!G460</f>
        <v>0</v>
      </c>
      <c r="H460">
        <f>Sheet1!H460</f>
        <v>0</v>
      </c>
      <c r="I460" t="str">
        <f>Sheet1!I460</f>
        <v>WASTO SIHOMBING</v>
      </c>
      <c r="J460" s="2">
        <f>Sheet1!K460</f>
        <v>46234.429015775502</v>
      </c>
      <c r="K460" s="2">
        <f>Sheet1!L460</f>
        <v>46234.441382326397</v>
      </c>
      <c r="L460" t="str">
        <f>Sheet1!M460</f>
        <v>Drop Data by CA</v>
      </c>
      <c r="M460" t="str">
        <f>Sheet1!P460</f>
        <v>DAIHATSU</v>
      </c>
      <c r="N460" t="str">
        <f>Sheet1!Q460</f>
        <v>2021</v>
      </c>
      <c r="O460">
        <f>Sheet1!AB460</f>
        <v>0</v>
      </c>
      <c r="P460" s="2">
        <f>Sheet1!AD460</f>
        <v>0</v>
      </c>
      <c r="Q460" t="str">
        <f>Sheet1!AI460</f>
        <v>ALEXANDER SIREGAR-126373</v>
      </c>
      <c r="R460" t="str">
        <f>Sheet1!AJ460</f>
        <v/>
      </c>
      <c r="S460" t="str">
        <f>Sheet1!AK460</f>
        <v>Reject</v>
      </c>
      <c r="T460" t="str">
        <f>Sheet1!AL460</f>
        <v>SA</v>
      </c>
      <c r="U460">
        <f t="shared" si="7"/>
        <v>0</v>
      </c>
    </row>
    <row r="461" spans="1:21" x14ac:dyDescent="0.25">
      <c r="A461">
        <f>Sheet1!A461</f>
        <v>460</v>
      </c>
      <c r="B461" t="str">
        <f>Sheet1!B461</f>
        <v>MEDAN DUA</v>
      </c>
      <c r="C461" t="str">
        <f>Sheet1!C461</f>
        <v>HAPRIDA</v>
      </c>
      <c r="D461" t="str">
        <f>Sheet1!D461</f>
        <v>ODRNO2607310053</v>
      </c>
      <c r="E461" t="str">
        <f>Sheet1!E461</f>
        <v>839PRS20260701006</v>
      </c>
      <c r="F461" t="str">
        <f>Sheet1!F461</f>
        <v>Sales Agent (SA)</v>
      </c>
      <c r="G461">
        <f>Sheet1!G461</f>
        <v>0</v>
      </c>
      <c r="H461">
        <f>Sheet1!H461</f>
        <v>0</v>
      </c>
      <c r="I461" t="str">
        <f>Sheet1!I461</f>
        <v>WASTO SIHOMBING</v>
      </c>
      <c r="J461" s="2">
        <f>Sheet1!K461</f>
        <v>46234.4309743056</v>
      </c>
      <c r="K461" s="2">
        <f>Sheet1!L461</f>
        <v>46234.441355208299</v>
      </c>
      <c r="L461" t="str">
        <f>Sheet1!M461</f>
        <v>CBAS Checked</v>
      </c>
      <c r="M461" t="str">
        <f>Sheet1!P461</f>
        <v>TOYOTA</v>
      </c>
      <c r="N461" t="str">
        <f>Sheet1!Q461</f>
        <v>2022</v>
      </c>
      <c r="O461">
        <f>Sheet1!AB461</f>
        <v>0</v>
      </c>
      <c r="P461" s="2">
        <f>Sheet1!AD461</f>
        <v>0</v>
      </c>
      <c r="Q461" t="str">
        <f>Sheet1!AI461</f>
        <v>ALEXANDER SIREGAR-126373</v>
      </c>
      <c r="R461" t="str">
        <f>Sheet1!AJ461</f>
        <v/>
      </c>
      <c r="S461" t="str">
        <f>Sheet1!AK461</f>
        <v>In Proses</v>
      </c>
      <c r="T461" t="str">
        <f>Sheet1!AL461</f>
        <v>SA</v>
      </c>
      <c r="U461">
        <f t="shared" si="7"/>
        <v>0</v>
      </c>
    </row>
    <row r="462" spans="1:21" x14ac:dyDescent="0.25">
      <c r="A462">
        <f>Sheet1!A462</f>
        <v>461</v>
      </c>
      <c r="B462" t="str">
        <f>Sheet1!B462</f>
        <v>MEDAN DUA</v>
      </c>
      <c r="C462" t="str">
        <f>Sheet1!C462</f>
        <v>RABBINA ZAMZANI</v>
      </c>
      <c r="D462" t="str">
        <f>Sheet1!D462</f>
        <v>ODRNO2607310055</v>
      </c>
      <c r="E462" t="str">
        <f>Sheet1!E462</f>
        <v>839PRS20260701007</v>
      </c>
      <c r="F462" t="str">
        <f>Sheet1!F462</f>
        <v>Sales Agent (SA)</v>
      </c>
      <c r="G462">
        <f>Sheet1!G462</f>
        <v>0</v>
      </c>
      <c r="H462">
        <f>Sheet1!H462</f>
        <v>0</v>
      </c>
      <c r="I462" t="str">
        <f>Sheet1!I462</f>
        <v>WASTO SIHOMBING</v>
      </c>
      <c r="J462" s="2">
        <f>Sheet1!K462</f>
        <v>46234.432798344897</v>
      </c>
      <c r="K462" s="2">
        <f>Sheet1!L462</f>
        <v>46234.451889699099</v>
      </c>
      <c r="L462" t="str">
        <f>Sheet1!M462</f>
        <v>Drop Data by CA</v>
      </c>
      <c r="M462" t="str">
        <f>Sheet1!P462</f>
        <v>TOYOTA</v>
      </c>
      <c r="N462" t="str">
        <f>Sheet1!Q462</f>
        <v>2016</v>
      </c>
      <c r="O462">
        <f>Sheet1!AB462</f>
        <v>0</v>
      </c>
      <c r="P462" s="2">
        <f>Sheet1!AD462</f>
        <v>0</v>
      </c>
      <c r="Q462" t="str">
        <f>Sheet1!AI462</f>
        <v>ALEXANDER SIREGAR-126373</v>
      </c>
      <c r="R462" t="str">
        <f>Sheet1!AJ462</f>
        <v/>
      </c>
      <c r="S462" t="str">
        <f>Sheet1!AK462</f>
        <v>Reject</v>
      </c>
      <c r="T462" t="str">
        <f>Sheet1!AL462</f>
        <v>SA</v>
      </c>
      <c r="U462">
        <f t="shared" si="7"/>
        <v>0</v>
      </c>
    </row>
    <row r="463" spans="1:21" x14ac:dyDescent="0.25">
      <c r="A463">
        <f>Sheet1!A463</f>
        <v>462</v>
      </c>
      <c r="B463" t="str">
        <f>Sheet1!B463</f>
        <v>MEDAN DUA</v>
      </c>
      <c r="C463" t="str">
        <f>Sheet1!C463</f>
        <v>RAHMAD AFFANDI LUBIS</v>
      </c>
      <c r="D463" t="str">
        <f>Sheet1!D463</f>
        <v>ODRNO2607310057</v>
      </c>
      <c r="E463" t="str">
        <f>Sheet1!E463</f>
        <v>839PRS20260701008</v>
      </c>
      <c r="F463" t="str">
        <f>Sheet1!F463</f>
        <v>Sales Agent (SA)</v>
      </c>
      <c r="G463">
        <f>Sheet1!G463</f>
        <v>0</v>
      </c>
      <c r="H463">
        <f>Sheet1!H463</f>
        <v>0</v>
      </c>
      <c r="I463" t="str">
        <f>Sheet1!I463</f>
        <v>WASTO SIHOMBING</v>
      </c>
      <c r="J463" s="2">
        <f>Sheet1!K463</f>
        <v>46234.435620567099</v>
      </c>
      <c r="K463" s="2">
        <f>Sheet1!L463</f>
        <v>46234.448012928202</v>
      </c>
      <c r="L463" t="str">
        <f>Sheet1!M463</f>
        <v>Drop Data by CA</v>
      </c>
      <c r="M463" t="str">
        <f>Sheet1!P463</f>
        <v>TOYOTA</v>
      </c>
      <c r="N463" t="str">
        <f>Sheet1!Q463</f>
        <v>2015</v>
      </c>
      <c r="O463">
        <f>Sheet1!AB463</f>
        <v>0</v>
      </c>
      <c r="P463" s="2">
        <f>Sheet1!AD463</f>
        <v>0</v>
      </c>
      <c r="Q463" t="str">
        <f>Sheet1!AI463</f>
        <v>ALEXANDER SIREGAR-126373</v>
      </c>
      <c r="R463" t="str">
        <f>Sheet1!AJ463</f>
        <v/>
      </c>
      <c r="S463" t="str">
        <f>Sheet1!AK463</f>
        <v>Reject</v>
      </c>
      <c r="T463" t="str">
        <f>Sheet1!AL463</f>
        <v>SA</v>
      </c>
      <c r="U463">
        <f t="shared" si="7"/>
        <v>0</v>
      </c>
    </row>
    <row r="464" spans="1:21" x14ac:dyDescent="0.25">
      <c r="A464">
        <f>Sheet1!A464</f>
        <v>463</v>
      </c>
      <c r="B464" t="str">
        <f>Sheet1!B464</f>
        <v>MEDAN DUA</v>
      </c>
      <c r="C464" t="str">
        <f>Sheet1!C464</f>
        <v>GADIS AISYAH</v>
      </c>
      <c r="D464" t="str">
        <f>Sheet1!D464</f>
        <v>ODRNO2607310061</v>
      </c>
      <c r="E464" t="str">
        <f>Sheet1!E464</f>
        <v>839PRS20260701009</v>
      </c>
      <c r="F464" t="str">
        <f>Sheet1!F464</f>
        <v>Sales Agent (SA)</v>
      </c>
      <c r="G464">
        <f>Sheet1!G464</f>
        <v>0</v>
      </c>
      <c r="H464">
        <f>Sheet1!H464</f>
        <v>0</v>
      </c>
      <c r="I464" t="str">
        <f>Sheet1!I464</f>
        <v>WASTO SIHOMBING</v>
      </c>
      <c r="J464" s="2">
        <f>Sheet1!K464</f>
        <v>46234.437501770801</v>
      </c>
      <c r="K464" s="2">
        <f>Sheet1!L464</f>
        <v>46234.451891006902</v>
      </c>
      <c r="L464" t="str">
        <f>Sheet1!M464</f>
        <v>Drop Data by CA</v>
      </c>
      <c r="M464" t="str">
        <f>Sheet1!P464</f>
        <v>TOYOTA</v>
      </c>
      <c r="N464" t="str">
        <f>Sheet1!Q464</f>
        <v>2025</v>
      </c>
      <c r="O464">
        <f>Sheet1!AB464</f>
        <v>0</v>
      </c>
      <c r="P464" s="2">
        <f>Sheet1!AD464</f>
        <v>0</v>
      </c>
      <c r="Q464" t="str">
        <f>Sheet1!AI464</f>
        <v>ALEXANDER SIREGAR-126373</v>
      </c>
      <c r="R464" t="str">
        <f>Sheet1!AJ464</f>
        <v/>
      </c>
      <c r="S464" t="str">
        <f>Sheet1!AK464</f>
        <v>Reject</v>
      </c>
      <c r="T464" t="str">
        <f>Sheet1!AL464</f>
        <v>SA</v>
      </c>
      <c r="U464">
        <f t="shared" si="7"/>
        <v>0</v>
      </c>
    </row>
    <row r="465" spans="1:21" x14ac:dyDescent="0.25">
      <c r="A465">
        <f>Sheet1!A465</f>
        <v>464</v>
      </c>
      <c r="B465" t="str">
        <f>Sheet1!B465</f>
        <v>MEDAN DUA</v>
      </c>
      <c r="C465" t="str">
        <f>Sheet1!C465</f>
        <v>SOPANTA OKTAVIANUS NAINGGOLAN</v>
      </c>
      <c r="D465" t="str">
        <f>Sheet1!D465</f>
        <v>ODRNO2607310063</v>
      </c>
      <c r="E465" t="str">
        <f>Sheet1!E465</f>
        <v>839PRS20260701010</v>
      </c>
      <c r="F465" t="str">
        <f>Sheet1!F465</f>
        <v>Sales Agent (SA)</v>
      </c>
      <c r="G465">
        <f>Sheet1!G465</f>
        <v>0</v>
      </c>
      <c r="H465">
        <f>Sheet1!H465</f>
        <v>0</v>
      </c>
      <c r="I465" t="str">
        <f>Sheet1!I465</f>
        <v>WASTO SIHOMBING</v>
      </c>
      <c r="J465" s="2">
        <f>Sheet1!K465</f>
        <v>46234.439201967602</v>
      </c>
      <c r="K465" s="2">
        <f>Sheet1!L465</f>
        <v>46234.451890474498</v>
      </c>
      <c r="L465" t="str">
        <f>Sheet1!M465</f>
        <v>Assignment Survey 1</v>
      </c>
      <c r="M465" t="str">
        <f>Sheet1!P465</f>
        <v>TOYOTA</v>
      </c>
      <c r="N465" t="str">
        <f>Sheet1!Q465</f>
        <v>2015</v>
      </c>
      <c r="O465">
        <f>Sheet1!AB465</f>
        <v>0</v>
      </c>
      <c r="P465" s="2">
        <f>Sheet1!AD465</f>
        <v>0</v>
      </c>
      <c r="Q465" t="str">
        <f>Sheet1!AI465</f>
        <v>ALEXANDER SIREGAR-126373</v>
      </c>
      <c r="R465" t="str">
        <f>Sheet1!AJ465</f>
        <v/>
      </c>
      <c r="S465" t="str">
        <f>Sheet1!AK465</f>
        <v>In Proses</v>
      </c>
      <c r="T465" t="str">
        <f>Sheet1!AL465</f>
        <v>SA</v>
      </c>
      <c r="U465">
        <f t="shared" si="7"/>
        <v>0</v>
      </c>
    </row>
    <row r="466" spans="1:21" x14ac:dyDescent="0.25">
      <c r="A466">
        <f>Sheet1!A466</f>
        <v>465</v>
      </c>
      <c r="B466" t="str">
        <f>Sheet1!B466</f>
        <v>MEDAN DUA</v>
      </c>
      <c r="C466" t="str">
        <f>Sheet1!C466</f>
        <v>TARDIJON M PANJAITAN SH</v>
      </c>
      <c r="D466" t="str">
        <f>Sheet1!D466</f>
        <v>ODRNO2607310064</v>
      </c>
      <c r="E466" t="str">
        <f>Sheet1!E466</f>
        <v>839PRS20260701011</v>
      </c>
      <c r="F466" t="str">
        <f>Sheet1!F466</f>
        <v>Sales Agent (SA)</v>
      </c>
      <c r="G466">
        <f>Sheet1!G466</f>
        <v>0</v>
      </c>
      <c r="H466">
        <f>Sheet1!H466</f>
        <v>0</v>
      </c>
      <c r="I466" t="str">
        <f>Sheet1!I466</f>
        <v>WASTO SIHOMBING</v>
      </c>
      <c r="J466" s="2">
        <f>Sheet1!K466</f>
        <v>46234.441190856502</v>
      </c>
      <c r="K466" s="2">
        <f>Sheet1!L466</f>
        <v>46234.458721030103</v>
      </c>
      <c r="L466" t="str">
        <f>Sheet1!M466</f>
        <v>Drop Data by CA</v>
      </c>
      <c r="M466" t="str">
        <f>Sheet1!P466</f>
        <v>TOYOTA</v>
      </c>
      <c r="N466" t="str">
        <f>Sheet1!Q466</f>
        <v>2019</v>
      </c>
      <c r="O466">
        <f>Sheet1!AB466</f>
        <v>0</v>
      </c>
      <c r="P466" s="2">
        <f>Sheet1!AD466</f>
        <v>0</v>
      </c>
      <c r="Q466" t="str">
        <f>Sheet1!AI466</f>
        <v>ALEXANDER SIREGAR-126373</v>
      </c>
      <c r="R466" t="str">
        <f>Sheet1!AJ466</f>
        <v/>
      </c>
      <c r="S466" t="str">
        <f>Sheet1!AK466</f>
        <v>Reject</v>
      </c>
      <c r="T466" t="str">
        <f>Sheet1!AL466</f>
        <v>SA</v>
      </c>
      <c r="U466">
        <f t="shared" si="7"/>
        <v>0</v>
      </c>
    </row>
    <row r="467" spans="1:21" x14ac:dyDescent="0.25">
      <c r="A467">
        <f>Sheet1!A467</f>
        <v>466</v>
      </c>
      <c r="B467" t="str">
        <f>Sheet1!B467</f>
        <v>MEDAN DUA</v>
      </c>
      <c r="C467" t="str">
        <f>Sheet1!C467</f>
        <v>M ADE WIRANATA</v>
      </c>
      <c r="D467" t="str">
        <f>Sheet1!D467</f>
        <v>ODRNO2607310065</v>
      </c>
      <c r="E467" t="str">
        <f>Sheet1!E467</f>
        <v>839PRS20260701012</v>
      </c>
      <c r="F467" t="str">
        <f>Sheet1!F467</f>
        <v>Sales Agent (SA)</v>
      </c>
      <c r="G467">
        <f>Sheet1!G467</f>
        <v>0</v>
      </c>
      <c r="H467">
        <f>Sheet1!H467</f>
        <v>0</v>
      </c>
      <c r="I467" t="str">
        <f>Sheet1!I467</f>
        <v>WASTO SIHOMBING</v>
      </c>
      <c r="J467" s="2">
        <f>Sheet1!K467</f>
        <v>46234.4429071759</v>
      </c>
      <c r="K467" s="2">
        <f>Sheet1!L467</f>
        <v>46234.458721678202</v>
      </c>
      <c r="L467" t="str">
        <f>Sheet1!M467</f>
        <v>Drop Data by CA</v>
      </c>
      <c r="M467" t="str">
        <f>Sheet1!P467</f>
        <v>TOYOTA</v>
      </c>
      <c r="N467" t="str">
        <f>Sheet1!Q467</f>
        <v>2021</v>
      </c>
      <c r="O467">
        <f>Sheet1!AB467</f>
        <v>0</v>
      </c>
      <c r="P467" s="2">
        <f>Sheet1!AD467</f>
        <v>0</v>
      </c>
      <c r="Q467" t="str">
        <f>Sheet1!AI467</f>
        <v>ALEXANDER SIREGAR-126373</v>
      </c>
      <c r="R467" t="str">
        <f>Sheet1!AJ467</f>
        <v/>
      </c>
      <c r="S467" t="str">
        <f>Sheet1!AK467</f>
        <v>Reject</v>
      </c>
      <c r="T467" t="str">
        <f>Sheet1!AL467</f>
        <v>SA</v>
      </c>
      <c r="U467">
        <f t="shared" si="7"/>
        <v>0</v>
      </c>
    </row>
    <row r="468" spans="1:21" x14ac:dyDescent="0.25">
      <c r="A468">
        <f>Sheet1!A468</f>
        <v>467</v>
      </c>
      <c r="B468" t="str">
        <f>Sheet1!B468</f>
        <v>MEDAN DUA</v>
      </c>
      <c r="C468" t="str">
        <f>Sheet1!C468</f>
        <v>PARWIS PUTRA DALIMUNTHE</v>
      </c>
      <c r="D468" t="str">
        <f>Sheet1!D468</f>
        <v>ODRNO2607310067</v>
      </c>
      <c r="E468" t="str">
        <f>Sheet1!E468</f>
        <v>839PRS20260701013</v>
      </c>
      <c r="F468" t="str">
        <f>Sheet1!F468</f>
        <v>Sales Agent (SA)</v>
      </c>
      <c r="G468">
        <f>Sheet1!G468</f>
        <v>0</v>
      </c>
      <c r="H468">
        <f>Sheet1!H468</f>
        <v>0</v>
      </c>
      <c r="I468" t="str">
        <f>Sheet1!I468</f>
        <v>WASTO SIHOMBING</v>
      </c>
      <c r="J468" s="2">
        <f>Sheet1!K468</f>
        <v>46234.444642326402</v>
      </c>
      <c r="K468" s="2">
        <f>Sheet1!L468</f>
        <v>46234.458722256903</v>
      </c>
      <c r="L468" t="str">
        <f>Sheet1!M468</f>
        <v>Drop Data by CA</v>
      </c>
      <c r="M468" t="str">
        <f>Sheet1!P468</f>
        <v>TOYOTA</v>
      </c>
      <c r="N468" t="str">
        <f>Sheet1!Q468</f>
        <v>2021</v>
      </c>
      <c r="O468">
        <f>Sheet1!AB468</f>
        <v>0</v>
      </c>
      <c r="P468" s="2">
        <f>Sheet1!AD468</f>
        <v>0</v>
      </c>
      <c r="Q468" t="str">
        <f>Sheet1!AI468</f>
        <v>ALEXANDER SIREGAR-126373</v>
      </c>
      <c r="R468" t="str">
        <f>Sheet1!AJ468</f>
        <v/>
      </c>
      <c r="S468" t="str">
        <f>Sheet1!AK468</f>
        <v>Reject</v>
      </c>
      <c r="T468" t="str">
        <f>Sheet1!AL468</f>
        <v>SA</v>
      </c>
      <c r="U468">
        <f t="shared" si="7"/>
        <v>0</v>
      </c>
    </row>
    <row r="469" spans="1:21" x14ac:dyDescent="0.25">
      <c r="A469">
        <f>Sheet1!A469</f>
        <v>468</v>
      </c>
      <c r="B469" t="str">
        <f>Sheet1!B469</f>
        <v>PALEMBANG</v>
      </c>
      <c r="C469" t="str">
        <f>Sheet1!C469</f>
        <v>KAFRI ASWAR</v>
      </c>
      <c r="D469" t="str">
        <f>Sheet1!D469</f>
        <v>ODRNO2607310049</v>
      </c>
      <c r="E469" t="str">
        <f>Sheet1!E469</f>
        <v>808PRS20260701983</v>
      </c>
      <c r="F469" t="str">
        <f>Sheet1!F469</f>
        <v>Sales Agent (SA)</v>
      </c>
      <c r="G469">
        <f>Sheet1!G469</f>
        <v>0</v>
      </c>
      <c r="H469">
        <f>Sheet1!H469</f>
        <v>0</v>
      </c>
      <c r="I469" t="str">
        <f>Sheet1!I469</f>
        <v>FEBI ARISANDI SH</v>
      </c>
      <c r="J469" s="2">
        <f>Sheet1!K469</f>
        <v>46234.428346099499</v>
      </c>
      <c r="K469" s="2">
        <f>Sheet1!L469</f>
        <v>46234.441383564801</v>
      </c>
      <c r="L469" t="str">
        <f>Sheet1!M469</f>
        <v>Drop Data by CA</v>
      </c>
      <c r="M469" t="str">
        <f>Sheet1!P469</f>
        <v>TOYOTA</v>
      </c>
      <c r="N469" t="str">
        <f>Sheet1!Q469</f>
        <v>2021</v>
      </c>
      <c r="O469">
        <f>Sheet1!AB469</f>
        <v>0</v>
      </c>
      <c r="P469" s="2">
        <f>Sheet1!AD469</f>
        <v>0</v>
      </c>
      <c r="Q469" t="str">
        <f>Sheet1!AI469</f>
        <v>ANDI TIASUHARDI-0726091</v>
      </c>
      <c r="R469" t="str">
        <f>Sheet1!AJ469</f>
        <v/>
      </c>
      <c r="S469" t="str">
        <f>Sheet1!AK469</f>
        <v>Reject</v>
      </c>
      <c r="T469" t="str">
        <f>Sheet1!AL469</f>
        <v>SA</v>
      </c>
      <c r="U469">
        <f t="shared" si="7"/>
        <v>0</v>
      </c>
    </row>
    <row r="470" spans="1:21" x14ac:dyDescent="0.25">
      <c r="A470">
        <f>Sheet1!A470</f>
        <v>469</v>
      </c>
      <c r="B470" t="str">
        <f>Sheet1!B470</f>
        <v>PALEMBANG</v>
      </c>
      <c r="C470" t="str">
        <f>Sheet1!C470</f>
        <v>BONTEK</v>
      </c>
      <c r="D470" t="str">
        <f>Sheet1!D470</f>
        <v>ODRNO2607310054</v>
      </c>
      <c r="E470" t="str">
        <f>Sheet1!E470</f>
        <v>808PRS20260701984</v>
      </c>
      <c r="F470" t="str">
        <f>Sheet1!F470</f>
        <v>Sales Agent (SA)</v>
      </c>
      <c r="G470">
        <f>Sheet1!G470</f>
        <v>0</v>
      </c>
      <c r="H470">
        <f>Sheet1!H470</f>
        <v>0</v>
      </c>
      <c r="I470" t="str">
        <f>Sheet1!I470</f>
        <v>FEBI ARISANDI SH</v>
      </c>
      <c r="J470" s="2">
        <f>Sheet1!K470</f>
        <v>46234.432383020801</v>
      </c>
      <c r="K470" s="2">
        <f>Sheet1!L470</f>
        <v>46234.448012152803</v>
      </c>
      <c r="L470" t="str">
        <f>Sheet1!M470</f>
        <v>Must Edit Prospect on Confins</v>
      </c>
      <c r="M470" t="str">
        <f>Sheet1!P470</f>
        <v>DAIHATSU</v>
      </c>
      <c r="N470" t="str">
        <f>Sheet1!Q470</f>
        <v>2020</v>
      </c>
      <c r="O470">
        <f>Sheet1!AB470</f>
        <v>0</v>
      </c>
      <c r="P470" s="2">
        <f>Sheet1!AD470</f>
        <v>0</v>
      </c>
      <c r="Q470" t="str">
        <f>Sheet1!AI470</f>
        <v>HARDAFI-0726055</v>
      </c>
      <c r="R470" t="str">
        <f>Sheet1!AJ470</f>
        <v/>
      </c>
      <c r="S470" t="str">
        <f>Sheet1!AK470</f>
        <v>In Proses</v>
      </c>
      <c r="T470" t="str">
        <f>Sheet1!AL470</f>
        <v>SA</v>
      </c>
      <c r="U470">
        <f t="shared" si="7"/>
        <v>0</v>
      </c>
    </row>
    <row r="471" spans="1:21" x14ac:dyDescent="0.25">
      <c r="A471">
        <f>Sheet1!A471</f>
        <v>470</v>
      </c>
      <c r="B471" t="str">
        <f>Sheet1!B471</f>
        <v>PALEMBANG</v>
      </c>
      <c r="C471" t="str">
        <f>Sheet1!C471</f>
        <v>DEDEK ARDETA</v>
      </c>
      <c r="D471" t="str">
        <f>Sheet1!D471</f>
        <v>ODRNO2607310062</v>
      </c>
      <c r="E471" t="str">
        <f>Sheet1!E471</f>
        <v>808PRS20260701985</v>
      </c>
      <c r="F471" t="str">
        <f>Sheet1!F471</f>
        <v>Sales Agent (SA)</v>
      </c>
      <c r="G471">
        <f>Sheet1!G471</f>
        <v>0</v>
      </c>
      <c r="H471">
        <f>Sheet1!H471</f>
        <v>0</v>
      </c>
      <c r="I471" t="str">
        <f>Sheet1!I471</f>
        <v>FEBI ARISANDI SH</v>
      </c>
      <c r="J471" s="2">
        <f>Sheet1!K471</f>
        <v>46234.438895104198</v>
      </c>
      <c r="K471" s="2">
        <f>Sheet1!L471</f>
        <v>46234.448013344903</v>
      </c>
      <c r="L471" t="str">
        <f>Sheet1!M471</f>
        <v>Drop Data by CA</v>
      </c>
      <c r="M471" t="str">
        <f>Sheet1!P471</f>
        <v>TOYOTA</v>
      </c>
      <c r="N471" t="str">
        <f>Sheet1!Q471</f>
        <v>2016</v>
      </c>
      <c r="O471">
        <f>Sheet1!AB471</f>
        <v>0</v>
      </c>
      <c r="P471" s="2">
        <f>Sheet1!AD471</f>
        <v>0</v>
      </c>
      <c r="Q471" t="str">
        <f>Sheet1!AI471</f>
        <v>RINOP ASEPTA-0726095</v>
      </c>
      <c r="R471" t="str">
        <f>Sheet1!AJ471</f>
        <v/>
      </c>
      <c r="S471" t="str">
        <f>Sheet1!AK471</f>
        <v>Reject</v>
      </c>
      <c r="T471" t="str">
        <f>Sheet1!AL471</f>
        <v>SA</v>
      </c>
      <c r="U471">
        <f t="shared" si="7"/>
        <v>0</v>
      </c>
    </row>
    <row r="472" spans="1:21" x14ac:dyDescent="0.25">
      <c r="A472">
        <f>Sheet1!A472</f>
        <v>471</v>
      </c>
      <c r="B472" t="str">
        <f>Sheet1!B472</f>
        <v>PALEMBANG</v>
      </c>
      <c r="C472" t="str">
        <f>Sheet1!C472</f>
        <v>ARMILA UTAMI</v>
      </c>
      <c r="D472" t="str">
        <f>Sheet1!D472</f>
        <v>ODRNO2607310068</v>
      </c>
      <c r="E472" t="str">
        <f>Sheet1!E472</f>
        <v>808PRS20260701986</v>
      </c>
      <c r="F472" t="str">
        <f>Sheet1!F472</f>
        <v>Sales Agent (SA)</v>
      </c>
      <c r="G472">
        <f>Sheet1!G472</f>
        <v>0</v>
      </c>
      <c r="H472">
        <f>Sheet1!H472</f>
        <v>0</v>
      </c>
      <c r="I472" t="str">
        <f>Sheet1!I472</f>
        <v>FEBI ARISANDI SH</v>
      </c>
      <c r="J472" s="2">
        <f>Sheet1!K472</f>
        <v>46234.445729282401</v>
      </c>
      <c r="K472" s="2">
        <f>Sheet1!L472</f>
        <v>46234.455041400499</v>
      </c>
      <c r="L472" t="str">
        <f>Sheet1!M472</f>
        <v>Must Edit Prospect on Confins</v>
      </c>
      <c r="M472" t="str">
        <f>Sheet1!P472</f>
        <v>TOYOTA</v>
      </c>
      <c r="N472" t="str">
        <f>Sheet1!Q472</f>
        <v>2024</v>
      </c>
      <c r="O472">
        <f>Sheet1!AB472</f>
        <v>0</v>
      </c>
      <c r="P472" s="2">
        <f>Sheet1!AD472</f>
        <v>0</v>
      </c>
      <c r="Q472" t="str">
        <f>Sheet1!AI472</f>
        <v>YOGA PUTRA PRATAMA-0726096</v>
      </c>
      <c r="R472" t="str">
        <f>Sheet1!AJ472</f>
        <v/>
      </c>
      <c r="S472" t="str">
        <f>Sheet1!AK472</f>
        <v>In Proses</v>
      </c>
      <c r="T472" t="str">
        <f>Sheet1!AL472</f>
        <v>SA</v>
      </c>
      <c r="U472">
        <f t="shared" si="7"/>
        <v>0</v>
      </c>
    </row>
    <row r="473" spans="1:21" x14ac:dyDescent="0.25">
      <c r="A473">
        <f>Sheet1!A473</f>
        <v>472</v>
      </c>
      <c r="B473" t="str">
        <f>Sheet1!B473</f>
        <v>PALEMBANG</v>
      </c>
      <c r="C473" t="str">
        <f>Sheet1!C473</f>
        <v>DURRIA HAZMI</v>
      </c>
      <c r="D473" t="str">
        <f>Sheet1!D473</f>
        <v>ODRNO2607310075</v>
      </c>
      <c r="E473" t="str">
        <f>Sheet1!E473</f>
        <v>808PRS20260701987</v>
      </c>
      <c r="F473" t="str">
        <f>Sheet1!F473</f>
        <v>Sales Agent (SA)</v>
      </c>
      <c r="G473">
        <f>Sheet1!G473</f>
        <v>0</v>
      </c>
      <c r="H473">
        <f>Sheet1!H473</f>
        <v>0</v>
      </c>
      <c r="I473" t="str">
        <f>Sheet1!I473</f>
        <v>FEBI ARISANDI SH</v>
      </c>
      <c r="J473" s="2">
        <f>Sheet1!K473</f>
        <v>46234.458971909698</v>
      </c>
      <c r="K473" s="2">
        <f>Sheet1!L473</f>
        <v>46234.472786921302</v>
      </c>
      <c r="L473" t="str">
        <f>Sheet1!M473</f>
        <v>Assignment Survey 1</v>
      </c>
      <c r="M473" t="str">
        <f>Sheet1!P473</f>
        <v>HONDA</v>
      </c>
      <c r="N473" t="str">
        <f>Sheet1!Q473</f>
        <v>2020</v>
      </c>
      <c r="O473">
        <f>Sheet1!AB473</f>
        <v>0</v>
      </c>
      <c r="P473" s="2">
        <f>Sheet1!AD473</f>
        <v>0</v>
      </c>
      <c r="Q473" t="str">
        <f>Sheet1!AI473</f>
        <v>PRIANGGA OKTA WIJAYA-0726084</v>
      </c>
      <c r="R473" t="str">
        <f>Sheet1!AJ473</f>
        <v/>
      </c>
      <c r="S473" t="str">
        <f>Sheet1!AK473</f>
        <v>In Proses</v>
      </c>
      <c r="T473" t="str">
        <f>Sheet1!AL473</f>
        <v>SA</v>
      </c>
      <c r="U473">
        <f t="shared" si="7"/>
        <v>0</v>
      </c>
    </row>
    <row r="474" spans="1:21" x14ac:dyDescent="0.25">
      <c r="A474">
        <f>Sheet1!A474</f>
        <v>473</v>
      </c>
      <c r="B474" t="str">
        <f>Sheet1!B474</f>
        <v>PEKANBARU</v>
      </c>
      <c r="C474" t="str">
        <f>Sheet1!C474</f>
        <v>AISAH</v>
      </c>
      <c r="D474" t="str">
        <f>Sheet1!D474</f>
        <v>ODRNO2607310179</v>
      </c>
      <c r="E474" t="str">
        <f>Sheet1!E474</f>
        <v>805PRS20260702915</v>
      </c>
      <c r="F474" t="str">
        <f>Sheet1!F474</f>
        <v>Sales Agent (SA)</v>
      </c>
      <c r="G474">
        <f>Sheet1!G474</f>
        <v>0</v>
      </c>
      <c r="H474">
        <f>Sheet1!H474</f>
        <v>0</v>
      </c>
      <c r="I474" t="str">
        <f>Sheet1!I474</f>
        <v>MUHAMMAD RIDWAN</v>
      </c>
      <c r="J474" s="2">
        <f>Sheet1!K474</f>
        <v>46234.659478784699</v>
      </c>
      <c r="K474" s="2">
        <f>Sheet1!L474</f>
        <v>46234.670525115696</v>
      </c>
      <c r="L474" t="str">
        <f>Sheet1!M474</f>
        <v>Drop Data by CA</v>
      </c>
      <c r="M474" t="str">
        <f>Sheet1!P474</f>
        <v>TOYOTA</v>
      </c>
      <c r="N474" t="str">
        <f>Sheet1!Q474</f>
        <v>2021</v>
      </c>
      <c r="O474">
        <f>Sheet1!AB474</f>
        <v>0</v>
      </c>
      <c r="P474" s="2">
        <f>Sheet1!AD474</f>
        <v>0</v>
      </c>
      <c r="Q474" t="str">
        <f>Sheet1!AI474</f>
        <v>WIWIN PRASETYA-126121</v>
      </c>
      <c r="R474" t="str">
        <f>Sheet1!AJ474</f>
        <v/>
      </c>
      <c r="S474" t="str">
        <f>Sheet1!AK474</f>
        <v>Reject</v>
      </c>
      <c r="T474" t="str">
        <f>Sheet1!AL474</f>
        <v>SA</v>
      </c>
      <c r="U474">
        <f t="shared" si="7"/>
        <v>0</v>
      </c>
    </row>
    <row r="475" spans="1:21" x14ac:dyDescent="0.25">
      <c r="A475">
        <f>Sheet1!A475</f>
        <v>474</v>
      </c>
      <c r="B475" t="str">
        <f>Sheet1!B475</f>
        <v>PEKANBARU</v>
      </c>
      <c r="C475" t="str">
        <f>Sheet1!C475</f>
        <v>SYOFYANDI</v>
      </c>
      <c r="D475" t="str">
        <f>Sheet1!D475</f>
        <v>ODRNO2607310184</v>
      </c>
      <c r="E475" t="str">
        <f>Sheet1!E475</f>
        <v>805PRS20260702916</v>
      </c>
      <c r="F475" t="str">
        <f>Sheet1!F475</f>
        <v>Sales Agent (SA)</v>
      </c>
      <c r="G475">
        <f>Sheet1!G475</f>
        <v>0</v>
      </c>
      <c r="H475">
        <f>Sheet1!H475</f>
        <v>0</v>
      </c>
      <c r="I475" t="str">
        <f>Sheet1!I475</f>
        <v>MUHAMMAD RIDWAN</v>
      </c>
      <c r="J475" s="2">
        <f>Sheet1!K475</f>
        <v>46234.665056099497</v>
      </c>
      <c r="K475" s="2">
        <f>Sheet1!L475</f>
        <v>46234.677288043997</v>
      </c>
      <c r="L475" t="str">
        <f>Sheet1!M475</f>
        <v>Drop Data by CA</v>
      </c>
      <c r="M475" t="str">
        <f>Sheet1!P475</f>
        <v>DAIHATSU</v>
      </c>
      <c r="N475" t="str">
        <f>Sheet1!Q475</f>
        <v>2023</v>
      </c>
      <c r="O475">
        <f>Sheet1!AB475</f>
        <v>0</v>
      </c>
      <c r="P475" s="2">
        <f>Sheet1!AD475</f>
        <v>0</v>
      </c>
      <c r="Q475" t="str">
        <f>Sheet1!AI475</f>
        <v>WIWIN PRASETYA-126121</v>
      </c>
      <c r="R475" t="str">
        <f>Sheet1!AJ475</f>
        <v/>
      </c>
      <c r="S475" t="str">
        <f>Sheet1!AK475</f>
        <v>Reject</v>
      </c>
      <c r="T475" t="str">
        <f>Sheet1!AL475</f>
        <v>SA</v>
      </c>
      <c r="U475">
        <f t="shared" si="7"/>
        <v>0</v>
      </c>
    </row>
    <row r="476" spans="1:21" x14ac:dyDescent="0.25">
      <c r="A476">
        <f>Sheet1!A476</f>
        <v>475</v>
      </c>
      <c r="B476" t="str">
        <f>Sheet1!B476</f>
        <v>PEKANBARU</v>
      </c>
      <c r="C476" t="str">
        <f>Sheet1!C476</f>
        <v>SENO ADI WIBOWO</v>
      </c>
      <c r="D476" t="str">
        <f>Sheet1!D476</f>
        <v>ODRNO2607310187</v>
      </c>
      <c r="E476" t="str">
        <f>Sheet1!E476</f>
        <v>805PRS20260702917</v>
      </c>
      <c r="F476" t="str">
        <f>Sheet1!F476</f>
        <v>Sales Agent (SA)</v>
      </c>
      <c r="G476">
        <f>Sheet1!G476</f>
        <v>0</v>
      </c>
      <c r="H476">
        <f>Sheet1!H476</f>
        <v>0</v>
      </c>
      <c r="I476" t="str">
        <f>Sheet1!I476</f>
        <v>MUHAMMAD RIDWAN</v>
      </c>
      <c r="J476" s="2">
        <f>Sheet1!K476</f>
        <v>46234.671723148102</v>
      </c>
      <c r="K476" s="2">
        <f>Sheet1!L476</f>
        <v>46234.680948495399</v>
      </c>
      <c r="L476" t="str">
        <f>Sheet1!M476</f>
        <v>Drop Data by CA</v>
      </c>
      <c r="M476" t="str">
        <f>Sheet1!P476</f>
        <v>DAIHATSU</v>
      </c>
      <c r="N476" t="str">
        <f>Sheet1!Q476</f>
        <v>2022</v>
      </c>
      <c r="O476">
        <f>Sheet1!AB476</f>
        <v>0</v>
      </c>
      <c r="P476" s="2">
        <f>Sheet1!AD476</f>
        <v>0</v>
      </c>
      <c r="Q476" t="str">
        <f>Sheet1!AI476</f>
        <v>SYAFITRA-126096</v>
      </c>
      <c r="R476" t="str">
        <f>Sheet1!AJ476</f>
        <v/>
      </c>
      <c r="S476" t="str">
        <f>Sheet1!AK476</f>
        <v>Reject</v>
      </c>
      <c r="T476" t="str">
        <f>Sheet1!AL476</f>
        <v>SA</v>
      </c>
      <c r="U476">
        <f t="shared" si="7"/>
        <v>0</v>
      </c>
    </row>
    <row r="477" spans="1:21" x14ac:dyDescent="0.25">
      <c r="A477">
        <f>Sheet1!A477</f>
        <v>476</v>
      </c>
      <c r="B477" t="str">
        <f>Sheet1!B477</f>
        <v>PEKANBARU</v>
      </c>
      <c r="C477" t="str">
        <f>Sheet1!C477</f>
        <v>HENDRA PARLINDUNGAN</v>
      </c>
      <c r="D477" t="str">
        <f>Sheet1!D477</f>
        <v>ODRNO2607310190</v>
      </c>
      <c r="E477" t="str">
        <f>Sheet1!E477</f>
        <v>805PRS20260702918</v>
      </c>
      <c r="F477" t="str">
        <f>Sheet1!F477</f>
        <v>Sales Agent (SA)</v>
      </c>
      <c r="G477">
        <f>Sheet1!G477</f>
        <v>0</v>
      </c>
      <c r="H477">
        <f>Sheet1!H477</f>
        <v>0</v>
      </c>
      <c r="I477" t="str">
        <f>Sheet1!I477</f>
        <v>MUHAMMAD RIDWAN</v>
      </c>
      <c r="J477" s="2">
        <f>Sheet1!K477</f>
        <v>46234.6769804051</v>
      </c>
      <c r="K477" s="2">
        <f>Sheet1!L477</f>
        <v>46234.6875580208</v>
      </c>
      <c r="L477" t="str">
        <f>Sheet1!M477</f>
        <v>Drop Data by CA</v>
      </c>
      <c r="M477" t="str">
        <f>Sheet1!P477</f>
        <v>DAIHATSU</v>
      </c>
      <c r="N477" t="str">
        <f>Sheet1!Q477</f>
        <v>2019</v>
      </c>
      <c r="O477">
        <f>Sheet1!AB477</f>
        <v>0</v>
      </c>
      <c r="P477" s="2">
        <f>Sheet1!AD477</f>
        <v>0</v>
      </c>
      <c r="Q477" t="str">
        <f>Sheet1!AI477</f>
        <v>SYAFITRA-126096</v>
      </c>
      <c r="R477" t="str">
        <f>Sheet1!AJ477</f>
        <v/>
      </c>
      <c r="S477" t="str">
        <f>Sheet1!AK477</f>
        <v>Reject</v>
      </c>
      <c r="T477" t="str">
        <f>Sheet1!AL477</f>
        <v>SA</v>
      </c>
      <c r="U477">
        <f t="shared" ref="U477:U488" si="8">IF(H477=0,0,"Done Survey")</f>
        <v>0</v>
      </c>
    </row>
    <row r="478" spans="1:21" x14ac:dyDescent="0.25">
      <c r="A478">
        <f>Sheet1!A478</f>
        <v>477</v>
      </c>
      <c r="B478" t="str">
        <f>Sheet1!B478</f>
        <v>PEKANBARU</v>
      </c>
      <c r="C478" t="str">
        <f>Sheet1!C478</f>
        <v>MUHAMMAD FARID OSAMA</v>
      </c>
      <c r="D478" t="str">
        <f>Sheet1!D478</f>
        <v>ODRNO2607310192</v>
      </c>
      <c r="E478" t="str">
        <f>Sheet1!E478</f>
        <v>805PRS20260702919</v>
      </c>
      <c r="F478" t="str">
        <f>Sheet1!F478</f>
        <v>Sales Agent (SA)</v>
      </c>
      <c r="G478">
        <f>Sheet1!G478</f>
        <v>0</v>
      </c>
      <c r="H478">
        <f>Sheet1!H478</f>
        <v>0</v>
      </c>
      <c r="I478" t="str">
        <f>Sheet1!I478</f>
        <v>MUHAMMAD RIDWAN</v>
      </c>
      <c r="J478" s="2">
        <f>Sheet1!K478</f>
        <v>46234.682621956003</v>
      </c>
      <c r="K478" s="2">
        <f>Sheet1!L478</f>
        <v>46234.691385150501</v>
      </c>
      <c r="L478" t="str">
        <f>Sheet1!M478</f>
        <v>Drop Data by CA</v>
      </c>
      <c r="M478" t="str">
        <f>Sheet1!P478</f>
        <v>DAIHATSU</v>
      </c>
      <c r="N478" t="str">
        <f>Sheet1!Q478</f>
        <v>2023</v>
      </c>
      <c r="O478">
        <f>Sheet1!AB478</f>
        <v>0</v>
      </c>
      <c r="P478" s="2">
        <f>Sheet1!AD478</f>
        <v>0</v>
      </c>
      <c r="Q478" t="str">
        <f>Sheet1!AI478</f>
        <v>WIWIN PRASETYA-126121</v>
      </c>
      <c r="R478" t="str">
        <f>Sheet1!AJ478</f>
        <v/>
      </c>
      <c r="S478" t="str">
        <f>Sheet1!AK478</f>
        <v>Reject</v>
      </c>
      <c r="T478" t="str">
        <f>Sheet1!AL478</f>
        <v>SA</v>
      </c>
      <c r="U478">
        <f t="shared" si="8"/>
        <v>0</v>
      </c>
    </row>
    <row r="479" spans="1:21" x14ac:dyDescent="0.25">
      <c r="A479">
        <f>Sheet1!A479</f>
        <v>478</v>
      </c>
      <c r="B479" t="str">
        <f>Sheet1!B479</f>
        <v>BATAM</v>
      </c>
      <c r="C479" t="str">
        <f>Sheet1!C479</f>
        <v>KURNIAWATI</v>
      </c>
      <c r="D479" t="str">
        <f>Sheet1!D479</f>
        <v>ODRNO2608010007</v>
      </c>
      <c r="E479" t="str">
        <f>Sheet1!E479</f>
        <v>806PRS20260802361</v>
      </c>
      <c r="F479" t="str">
        <f>Sheet1!F479</f>
        <v>Sales Agent (SA)</v>
      </c>
      <c r="G479">
        <f>Sheet1!G479</f>
        <v>0</v>
      </c>
      <c r="H479">
        <f>Sheet1!H479</f>
        <v>0</v>
      </c>
      <c r="I479" t="str">
        <f>Sheet1!I479</f>
        <v>PRAMA OVRIANDI SAPUTRA</v>
      </c>
      <c r="J479" s="2">
        <f>Sheet1!K479</f>
        <v>46235</v>
      </c>
      <c r="K479" s="2">
        <f>Sheet1!L479</f>
        <v>46235.354240474502</v>
      </c>
      <c r="L479" t="str">
        <f>Sheet1!M479</f>
        <v>Assignment Survey 1</v>
      </c>
      <c r="M479" t="str">
        <f>Sheet1!P479</f>
        <v>TOYOTA</v>
      </c>
      <c r="N479" t="str">
        <f>Sheet1!Q479</f>
        <v>2020</v>
      </c>
      <c r="O479">
        <f>Sheet1!AB479</f>
        <v>0</v>
      </c>
      <c r="P479" s="2">
        <f>Sheet1!AD479</f>
        <v>0</v>
      </c>
      <c r="Q479" t="str">
        <f>Sheet1!AI479</f>
        <v>ADVENTUS CHRISTIAN RICO-226018</v>
      </c>
      <c r="R479" t="str">
        <f>Sheet1!AJ479</f>
        <v/>
      </c>
      <c r="S479" t="str">
        <f>Sheet1!AK479</f>
        <v>In Proses</v>
      </c>
      <c r="T479" t="str">
        <f>Sheet1!AL479</f>
        <v>SA</v>
      </c>
      <c r="U479">
        <f t="shared" si="8"/>
        <v>0</v>
      </c>
    </row>
    <row r="480" spans="1:21" x14ac:dyDescent="0.25">
      <c r="A480">
        <f>Sheet1!A480</f>
        <v>479</v>
      </c>
      <c r="B480" t="str">
        <f>Sheet1!B480</f>
        <v>BEKASI</v>
      </c>
      <c r="C480" t="str">
        <f>Sheet1!C480</f>
        <v>muhamad sulton nawawi</v>
      </c>
      <c r="D480" t="str">
        <f>Sheet1!D480</f>
        <v>ODRNO2608010102</v>
      </c>
      <c r="E480" t="str">
        <f>Sheet1!E480</f>
        <v>811PRS20260805194</v>
      </c>
      <c r="F480" t="str">
        <f>Sheet1!F480</f>
        <v>Sales Agent (SA)</v>
      </c>
      <c r="G480">
        <f>Sheet1!G480</f>
        <v>0</v>
      </c>
      <c r="H480">
        <f>Sheet1!H480</f>
        <v>0</v>
      </c>
      <c r="I480" t="str">
        <f>Sheet1!I480</f>
        <v>KURNIAWAN ARIBOWO</v>
      </c>
      <c r="J480" s="2">
        <f>Sheet1!K480</f>
        <v>46235</v>
      </c>
      <c r="K480" s="2">
        <f>Sheet1!L480</f>
        <v>46235.704906365703</v>
      </c>
      <c r="L480" t="str">
        <f>Sheet1!M480</f>
        <v>Drop Data by CA</v>
      </c>
      <c r="M480" t="str">
        <f>Sheet1!P480</f>
        <v>DAIHATSU</v>
      </c>
      <c r="N480" t="str">
        <f>Sheet1!Q480</f>
        <v>2014</v>
      </c>
      <c r="O480">
        <f>Sheet1!AB480</f>
        <v>0</v>
      </c>
      <c r="P480" s="2">
        <f>Sheet1!AD480</f>
        <v>0</v>
      </c>
      <c r="Q480" t="str">
        <f>Sheet1!AI480</f>
        <v>HUMAIROH-326154</v>
      </c>
      <c r="R480" t="str">
        <f>Sheet1!AJ480</f>
        <v/>
      </c>
      <c r="S480" t="str">
        <f>Sheet1!AK480</f>
        <v>Reject</v>
      </c>
      <c r="T480" t="str">
        <f>Sheet1!AL480</f>
        <v>SA</v>
      </c>
      <c r="U480">
        <f t="shared" si="8"/>
        <v>0</v>
      </c>
    </row>
    <row r="481" spans="1:21" x14ac:dyDescent="0.25">
      <c r="A481">
        <f>Sheet1!A481</f>
        <v>480</v>
      </c>
      <c r="B481" t="str">
        <f>Sheet1!B481</f>
        <v>BOGOR</v>
      </c>
      <c r="C481" t="str">
        <f>Sheet1!C481</f>
        <v>AYU LISTIYONINGSIH</v>
      </c>
      <c r="D481" t="str">
        <f>Sheet1!D481</f>
        <v>ODRNO2608010079</v>
      </c>
      <c r="E481" t="str">
        <f>Sheet1!E481</f>
        <v>812PRS20260801482</v>
      </c>
      <c r="F481" t="str">
        <f>Sheet1!F481</f>
        <v>Sales Agent (SA)</v>
      </c>
      <c r="G481">
        <f>Sheet1!G481</f>
        <v>0</v>
      </c>
      <c r="H481">
        <f>Sheet1!H481</f>
        <v>0</v>
      </c>
      <c r="I481" t="str">
        <f>Sheet1!I481</f>
        <v>EKA SUNARYO</v>
      </c>
      <c r="J481" s="2">
        <f>Sheet1!K481</f>
        <v>46235</v>
      </c>
      <c r="K481" s="2">
        <f>Sheet1!L481</f>
        <v>46235.538359872698</v>
      </c>
      <c r="L481" t="str">
        <f>Sheet1!M481</f>
        <v>Assignment Survey 1</v>
      </c>
      <c r="M481" t="str">
        <f>Sheet1!P481</f>
        <v>TOYOTA</v>
      </c>
      <c r="N481" t="str">
        <f>Sheet1!Q481</f>
        <v>2016</v>
      </c>
      <c r="O481">
        <f>Sheet1!AB481</f>
        <v>0</v>
      </c>
      <c r="P481" s="2">
        <f>Sheet1!AD481</f>
        <v>0</v>
      </c>
      <c r="Q481" t="str">
        <f>Sheet1!AI481</f>
        <v>BILLIE SAPTORANGGA-226140</v>
      </c>
      <c r="R481" t="str">
        <f>Sheet1!AJ481</f>
        <v/>
      </c>
      <c r="S481" t="str">
        <f>Sheet1!AK481</f>
        <v>In Proses</v>
      </c>
      <c r="T481" t="str">
        <f>Sheet1!AL481</f>
        <v>SA</v>
      </c>
      <c r="U481">
        <f t="shared" si="8"/>
        <v>0</v>
      </c>
    </row>
    <row r="482" spans="1:21" x14ac:dyDescent="0.25">
      <c r="A482">
        <f>Sheet1!A482</f>
        <v>481</v>
      </c>
      <c r="B482" t="str">
        <f>Sheet1!B482</f>
        <v>KEMAYORAN</v>
      </c>
      <c r="C482" t="str">
        <f>Sheet1!C482</f>
        <v>Syahras fhanhar</v>
      </c>
      <c r="D482" t="str">
        <f>Sheet1!D482</f>
        <v>ODRNO2608010017</v>
      </c>
      <c r="E482" t="str">
        <f>Sheet1!E482</f>
        <v>801PRS20260800990</v>
      </c>
      <c r="F482" t="str">
        <f>Sheet1!F482</f>
        <v>Sales Agent (SA)</v>
      </c>
      <c r="G482">
        <f>Sheet1!G482</f>
        <v>0</v>
      </c>
      <c r="H482">
        <f>Sheet1!H482</f>
        <v>0</v>
      </c>
      <c r="I482" t="str">
        <f>Sheet1!I482</f>
        <v>MUHAMMAD RIZQY KEMAL</v>
      </c>
      <c r="J482" s="2">
        <f>Sheet1!K482</f>
        <v>46235</v>
      </c>
      <c r="K482" s="2">
        <f>Sheet1!L482</f>
        <v>46235.382951076397</v>
      </c>
      <c r="L482" t="str">
        <f>Sheet1!M482</f>
        <v>Assignment Survey 1</v>
      </c>
      <c r="M482" t="str">
        <f>Sheet1!P482</f>
        <v>HONDA</v>
      </c>
      <c r="N482" t="str">
        <f>Sheet1!Q482</f>
        <v>2022</v>
      </c>
      <c r="O482">
        <f>Sheet1!AB482</f>
        <v>0</v>
      </c>
      <c r="P482" s="2">
        <f>Sheet1!AD482</f>
        <v>0</v>
      </c>
      <c r="Q482" t="str">
        <f>Sheet1!AI482</f>
        <v>ANDI BILLA SHAHZAD MACORA-0626005</v>
      </c>
      <c r="R482" t="str">
        <f>Sheet1!AJ482</f>
        <v/>
      </c>
      <c r="S482" t="str">
        <f>Sheet1!AK482</f>
        <v>In Proses</v>
      </c>
      <c r="T482" t="str">
        <f>Sheet1!AL482</f>
        <v>SA</v>
      </c>
      <c r="U482">
        <f t="shared" si="8"/>
        <v>0</v>
      </c>
    </row>
    <row r="483" spans="1:21" x14ac:dyDescent="0.25">
      <c r="A483">
        <f>Sheet1!A483</f>
        <v>482</v>
      </c>
      <c r="B483" t="str">
        <f>Sheet1!B483</f>
        <v>LAMPUNG</v>
      </c>
      <c r="C483" t="str">
        <f>Sheet1!C483</f>
        <v xml:space="preserve">nirwan chandra </v>
      </c>
      <c r="D483" t="str">
        <f>Sheet1!D483</f>
        <v>ODRNO2608010012</v>
      </c>
      <c r="E483" t="str">
        <f>Sheet1!E483</f>
        <v>810PRS20260800770</v>
      </c>
      <c r="F483" t="str">
        <f>Sheet1!F483</f>
        <v>Sales Agent (SA)</v>
      </c>
      <c r="G483">
        <f>Sheet1!G483</f>
        <v>0</v>
      </c>
      <c r="H483">
        <f>Sheet1!H483</f>
        <v>0</v>
      </c>
      <c r="I483" t="str">
        <f>Sheet1!I483</f>
        <v>AZWAN</v>
      </c>
      <c r="J483" s="2">
        <f>Sheet1!K483</f>
        <v>46235</v>
      </c>
      <c r="K483" s="2">
        <f>Sheet1!L483</f>
        <v>46235.368125347202</v>
      </c>
      <c r="L483" t="str">
        <f>Sheet1!M483</f>
        <v>Drop Data by CA</v>
      </c>
      <c r="M483" t="str">
        <f>Sheet1!P483</f>
        <v>MITSUBISHI</v>
      </c>
      <c r="N483" t="str">
        <f>Sheet1!Q483</f>
        <v>2018</v>
      </c>
      <c r="O483">
        <f>Sheet1!AB483</f>
        <v>0</v>
      </c>
      <c r="P483" s="2">
        <f>Sheet1!AD483</f>
        <v>0</v>
      </c>
      <c r="Q483" t="str">
        <f>Sheet1!AI483</f>
        <v>TIARA RATU PUSPITA HAKIM-126017</v>
      </c>
      <c r="R483" t="str">
        <f>Sheet1!AJ483</f>
        <v/>
      </c>
      <c r="S483" t="str">
        <f>Sheet1!AK483</f>
        <v>Reject</v>
      </c>
      <c r="T483" t="str">
        <f>Sheet1!AL483</f>
        <v>SA</v>
      </c>
      <c r="U483">
        <f t="shared" si="8"/>
        <v>0</v>
      </c>
    </row>
    <row r="484" spans="1:21" x14ac:dyDescent="0.25">
      <c r="A484">
        <f>Sheet1!A484</f>
        <v>483</v>
      </c>
      <c r="B484" t="str">
        <f>Sheet1!B484</f>
        <v>DENPASAR</v>
      </c>
      <c r="C484" t="str">
        <f>Sheet1!C484</f>
        <v>I WAYAN SUKANADA</v>
      </c>
      <c r="D484" t="str">
        <f>Sheet1!D484</f>
        <v>ODRNO2608030029</v>
      </c>
      <c r="E484" t="str">
        <f>Sheet1!E484</f>
        <v>821PRS20260800820</v>
      </c>
      <c r="F484" t="str">
        <f>Sheet1!F484</f>
        <v>Sales Agent (SA)</v>
      </c>
      <c r="G484">
        <f>Sheet1!G484</f>
        <v>0</v>
      </c>
      <c r="H484">
        <f>Sheet1!H484</f>
        <v>0</v>
      </c>
      <c r="I484" t="str">
        <f>Sheet1!I484</f>
        <v>I MADE BAGUS PUTRA WIRAPASTIKA S I KOM</v>
      </c>
      <c r="J484" s="2">
        <f>Sheet1!K484</f>
        <v>46237</v>
      </c>
      <c r="K484" s="2">
        <f>Sheet1!L484</f>
        <v>46237.347243368102</v>
      </c>
      <c r="L484" t="str">
        <f>Sheet1!M484</f>
        <v>New Data</v>
      </c>
      <c r="M484" t="str">
        <f>Sheet1!P484</f>
        <v>TOYOTA</v>
      </c>
      <c r="N484" t="str">
        <f>Sheet1!Q484</f>
        <v>2008</v>
      </c>
      <c r="O484">
        <f>Sheet1!AB484</f>
        <v>0</v>
      </c>
      <c r="P484" s="2">
        <f>Sheet1!AD484</f>
        <v>0</v>
      </c>
      <c r="Q484" t="str">
        <f>Sheet1!AI484</f>
        <v>I MADE AGUS SURYAWAN-226093</v>
      </c>
      <c r="R484" t="str">
        <f>Sheet1!AJ484</f>
        <v/>
      </c>
      <c r="S484" t="str">
        <f>Sheet1!AK484</f>
        <v>In Proses</v>
      </c>
      <c r="T484" t="str">
        <f>Sheet1!AL484</f>
        <v>SA</v>
      </c>
      <c r="U484">
        <f t="shared" si="8"/>
        <v>0</v>
      </c>
    </row>
    <row r="485" spans="1:21" x14ac:dyDescent="0.25">
      <c r="A485">
        <f>Sheet1!A485</f>
        <v>484</v>
      </c>
      <c r="B485" t="str">
        <f>Sheet1!B485</f>
        <v>DENPASAR</v>
      </c>
      <c r="C485" t="str">
        <f>Sheet1!C485</f>
        <v>I MADE DWI ISWAYANA</v>
      </c>
      <c r="D485" t="str">
        <f>Sheet1!D485</f>
        <v>ODRNO2608030033</v>
      </c>
      <c r="E485" t="str">
        <f>Sheet1!E485</f>
        <v>821PRS20260800821</v>
      </c>
      <c r="F485" t="str">
        <f>Sheet1!F485</f>
        <v>Sales Agent (SA)</v>
      </c>
      <c r="G485">
        <f>Sheet1!G485</f>
        <v>0</v>
      </c>
      <c r="H485">
        <f>Sheet1!H485</f>
        <v>0</v>
      </c>
      <c r="I485" t="str">
        <f>Sheet1!I485</f>
        <v>I MADE BAGUS PUTRA WIRAPASTIKA S I KOM</v>
      </c>
      <c r="J485" s="2">
        <f>Sheet1!K485</f>
        <v>46237</v>
      </c>
      <c r="K485" s="2">
        <f>Sheet1!L485</f>
        <v>46237.350758911998</v>
      </c>
      <c r="L485" t="str">
        <f>Sheet1!M485</f>
        <v>New Data</v>
      </c>
      <c r="M485" t="str">
        <f>Sheet1!P485</f>
        <v>DAIHATSU</v>
      </c>
      <c r="N485" t="str">
        <f>Sheet1!Q485</f>
        <v>2015</v>
      </c>
      <c r="O485">
        <f>Sheet1!AB485</f>
        <v>0</v>
      </c>
      <c r="P485" s="2">
        <f>Sheet1!AD485</f>
        <v>0</v>
      </c>
      <c r="Q485" t="str">
        <f>Sheet1!AI485</f>
        <v>A A GEDE BAGUS PUTRA WIRAWAN-0626024</v>
      </c>
      <c r="R485" t="str">
        <f>Sheet1!AJ485</f>
        <v/>
      </c>
      <c r="S485" t="str">
        <f>Sheet1!AK485</f>
        <v>In Proses</v>
      </c>
      <c r="T485" t="str">
        <f>Sheet1!AL485</f>
        <v>SA</v>
      </c>
      <c r="U485">
        <f t="shared" si="8"/>
        <v>0</v>
      </c>
    </row>
    <row r="486" spans="1:21" x14ac:dyDescent="0.25">
      <c r="J486" s="2"/>
      <c r="K486" s="2"/>
      <c r="P486" s="2"/>
    </row>
    <row r="487" spans="1:21" x14ac:dyDescent="0.25">
      <c r="J487" s="2"/>
      <c r="K487" s="2"/>
      <c r="P487" s="2"/>
    </row>
    <row r="488" spans="1:21" x14ac:dyDescent="0.25">
      <c r="J488" s="2"/>
      <c r="K488" s="2"/>
      <c r="P488" s="2"/>
    </row>
  </sheetData>
  <dataValidations count="2">
    <dataValidation type="list" allowBlank="1" showInputMessage="1" showErrorMessage="1" sqref="V1:V3" xr:uid="{8DA78E30-5CE3-406C-9116-983F0E56BC54}">
      <formula1>"Internal, External"</formula1>
    </dataValidation>
    <dataValidation type="list" allowBlank="1" showInputMessage="1" showErrorMessage="1" sqref="W2:W3" xr:uid="{B628F9AB-CD2D-446C-82A6-3C96AD997377}">
      <formula1>"New Customer, Repeat Order"</formula1>
    </dataValidation>
  </dataValidations>
  <pageMargins left="0.7" right="0.7" top="0.75" bottom="0.75" header="0.3" footer="0.3"/>
  <pageSetup orientation="portrait" r:id="rId1"/>
  <ignoredErrors>
    <ignoredError xmlns:x16r3="http://schemas.microsoft.com/office/spreadsheetml/2018/08/main" sqref="J2:J476 K2:K476 P2:P476" x16r3:misleadingForma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C0BD-0566-4017-9FDD-FCECAEF67946}">
  <dimension ref="A1:AV485"/>
  <sheetViews>
    <sheetView topLeftCell="AI466" workbookViewId="0">
      <selection activeCell="AI484" sqref="AI484"/>
    </sheetView>
  </sheetViews>
  <sheetFormatPr defaultRowHeight="15" x14ac:dyDescent="0.25"/>
  <cols>
    <col min="1" max="1" width="5" bestFit="1" customWidth="1"/>
    <col min="2" max="2" width="20" bestFit="1" customWidth="1"/>
    <col min="3" max="3" width="38.85546875" bestFit="1" customWidth="1"/>
    <col min="4" max="4" width="18" bestFit="1" customWidth="1"/>
    <col min="5" max="5" width="18.5703125" bestFit="1" customWidth="1"/>
    <col min="6" max="6" width="21.85546875" bestFit="1" customWidth="1"/>
    <col min="7" max="7" width="14.140625" bestFit="1" customWidth="1"/>
    <col min="8" max="8" width="18.7109375" bestFit="1" customWidth="1"/>
    <col min="9" max="9" width="39.5703125" bestFit="1" customWidth="1"/>
    <col min="10" max="10" width="19.7109375" bestFit="1" customWidth="1"/>
    <col min="11" max="11" width="10.7109375" bestFit="1" customWidth="1"/>
    <col min="12" max="12" width="12" bestFit="1" customWidth="1"/>
    <col min="13" max="13" width="27.5703125" bestFit="1" customWidth="1"/>
    <col min="14" max="14" width="54.5703125" bestFit="1" customWidth="1"/>
    <col min="15" max="15" width="10.140625" bestFit="1" customWidth="1"/>
    <col min="16" max="16" width="11" bestFit="1" customWidth="1"/>
    <col min="17" max="17" width="11.7109375" bestFit="1" customWidth="1"/>
    <col min="18" max="18" width="23.5703125" bestFit="1" customWidth="1"/>
    <col min="19" max="19" width="23.140625" bestFit="1" customWidth="1"/>
    <col min="20" max="21" width="13.5703125" bestFit="1" customWidth="1"/>
    <col min="22" max="22" width="33.140625" bestFit="1" customWidth="1"/>
    <col min="23" max="23" width="8.7109375" bestFit="1" customWidth="1"/>
    <col min="24" max="24" width="21.7109375" bestFit="1" customWidth="1"/>
    <col min="25" max="25" width="21.85546875" bestFit="1" customWidth="1"/>
    <col min="26" max="26" width="86.42578125" bestFit="1" customWidth="1"/>
    <col min="27" max="27" width="19.28515625" bestFit="1" customWidth="1"/>
    <col min="28" max="28" width="10" bestFit="1" customWidth="1"/>
    <col min="29" max="29" width="18.7109375" bestFit="1" customWidth="1"/>
    <col min="30" max="30" width="10.85546875" style="2" bestFit="1" customWidth="1"/>
    <col min="31" max="31" width="16.85546875" bestFit="1" customWidth="1"/>
    <col min="32" max="32" width="23.42578125" bestFit="1" customWidth="1"/>
    <col min="33" max="33" width="17.7109375" bestFit="1" customWidth="1"/>
    <col min="34" max="34" width="16.42578125" bestFit="1" customWidth="1"/>
    <col min="35" max="35" width="41.140625" bestFit="1" customWidth="1"/>
    <col min="36" max="36" width="16.42578125" bestFit="1" customWidth="1"/>
    <col min="37" max="37" width="14.5703125" bestFit="1" customWidth="1"/>
    <col min="38" max="38" width="4.5703125" bestFit="1" customWidth="1"/>
    <col min="39" max="39" width="12.28515625" bestFit="1" customWidth="1"/>
    <col min="40" max="40" width="5" bestFit="1" customWidth="1"/>
    <col min="41" max="41" width="12.5703125" bestFit="1" customWidth="1"/>
    <col min="42" max="42" width="10.85546875" bestFit="1" customWidth="1"/>
    <col min="43" max="43" width="12.42578125" bestFit="1" customWidth="1"/>
    <col min="44" max="44" width="12.42578125" customWidth="1"/>
    <col min="45" max="45" width="13.7109375" bestFit="1" customWidth="1"/>
    <col min="46" max="46" width="13.42578125" bestFit="1" customWidth="1"/>
    <col min="47" max="47" width="16" bestFit="1" customWidth="1"/>
    <col min="48" max="48" width="13.425781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2582</v>
      </c>
      <c r="AS1" s="1" t="s">
        <v>2580</v>
      </c>
      <c r="AT1" s="1" t="s">
        <v>2579</v>
      </c>
      <c r="AU1" s="1" t="s">
        <v>2578</v>
      </c>
      <c r="AV1" s="1" t="s">
        <v>2577</v>
      </c>
    </row>
    <row r="2" spans="1:48" x14ac:dyDescent="0.25">
      <c r="A2">
        <v>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s="2">
        <v>46204.508285104203</v>
      </c>
      <c r="L2" s="2">
        <v>46207.535268518499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V2" t="s">
        <v>59</v>
      </c>
      <c r="W2" t="s">
        <v>60</v>
      </c>
      <c r="X2" t="s">
        <v>61</v>
      </c>
      <c r="Y2" t="s">
        <v>47</v>
      </c>
      <c r="Z2" t="s">
        <v>62</v>
      </c>
      <c r="AA2" t="s">
        <v>63</v>
      </c>
      <c r="AB2">
        <v>216083000</v>
      </c>
      <c r="AC2" t="s">
        <v>58</v>
      </c>
      <c r="AD2" s="2">
        <v>46205</v>
      </c>
      <c r="AE2" t="s">
        <v>64</v>
      </c>
      <c r="AF2" t="s">
        <v>65</v>
      </c>
      <c r="AG2" t="s">
        <v>66</v>
      </c>
      <c r="AI2" t="s">
        <v>67</v>
      </c>
      <c r="AJ2" t="s">
        <v>68</v>
      </c>
      <c r="AK2" t="s">
        <v>69</v>
      </c>
      <c r="AL2" t="s">
        <v>70</v>
      </c>
      <c r="AM2">
        <v>1</v>
      </c>
      <c r="AN2">
        <v>2026</v>
      </c>
      <c r="AO2" t="s">
        <v>71</v>
      </c>
      <c r="AP2">
        <v>4</v>
      </c>
      <c r="AQ2" t="s">
        <v>71</v>
      </c>
      <c r="AR2" t="s">
        <v>2583</v>
      </c>
      <c r="AS2" t="s">
        <v>2581</v>
      </c>
    </row>
    <row r="3" spans="1:48" x14ac:dyDescent="0.25">
      <c r="A3">
        <v>2</v>
      </c>
      <c r="B3" t="s">
        <v>43</v>
      </c>
      <c r="C3" t="s">
        <v>72</v>
      </c>
      <c r="D3" t="s">
        <v>73</v>
      </c>
      <c r="E3" t="s">
        <v>74</v>
      </c>
      <c r="F3" t="s">
        <v>75</v>
      </c>
      <c r="I3" t="s">
        <v>50</v>
      </c>
      <c r="K3" s="2">
        <v>46204.619866979199</v>
      </c>
      <c r="L3" s="2">
        <v>46212.3333494213</v>
      </c>
      <c r="M3" t="s">
        <v>76</v>
      </c>
      <c r="N3" t="s">
        <v>77</v>
      </c>
      <c r="O3" t="s">
        <v>54</v>
      </c>
      <c r="P3" t="s">
        <v>78</v>
      </c>
      <c r="Q3" t="s">
        <v>79</v>
      </c>
      <c r="S3" t="s">
        <v>68</v>
      </c>
      <c r="V3" t="s">
        <v>59</v>
      </c>
      <c r="W3" t="s">
        <v>60</v>
      </c>
      <c r="X3" t="s">
        <v>61</v>
      </c>
      <c r="Y3" t="s">
        <v>75</v>
      </c>
      <c r="AA3" t="s">
        <v>80</v>
      </c>
      <c r="AF3" t="s">
        <v>81</v>
      </c>
      <c r="AK3" t="s">
        <v>82</v>
      </c>
      <c r="AL3" t="s">
        <v>70</v>
      </c>
      <c r="AM3">
        <v>1</v>
      </c>
      <c r="AN3">
        <v>2026</v>
      </c>
      <c r="AO3" t="s">
        <v>71</v>
      </c>
      <c r="AP3">
        <v>9</v>
      </c>
      <c r="AQ3" t="s">
        <v>71</v>
      </c>
      <c r="AR3" t="s">
        <v>2584</v>
      </c>
      <c r="AS3" t="s">
        <v>2585</v>
      </c>
    </row>
    <row r="4" spans="1:48" x14ac:dyDescent="0.25">
      <c r="A4">
        <v>3</v>
      </c>
      <c r="B4" t="s">
        <v>83</v>
      </c>
      <c r="C4" t="s">
        <v>84</v>
      </c>
      <c r="D4" t="s">
        <v>85</v>
      </c>
      <c r="E4" t="s">
        <v>86</v>
      </c>
      <c r="F4" t="s">
        <v>47</v>
      </c>
      <c r="I4" t="s">
        <v>87</v>
      </c>
      <c r="K4" s="2">
        <v>46204.455866319397</v>
      </c>
      <c r="L4" s="2">
        <v>46212.3333494213</v>
      </c>
      <c r="M4" t="s">
        <v>76</v>
      </c>
      <c r="N4" t="s">
        <v>77</v>
      </c>
      <c r="O4" t="s">
        <v>54</v>
      </c>
      <c r="P4" t="s">
        <v>88</v>
      </c>
      <c r="Q4" t="s">
        <v>89</v>
      </c>
      <c r="S4" t="s">
        <v>68</v>
      </c>
      <c r="V4" t="s">
        <v>59</v>
      </c>
      <c r="W4" t="s">
        <v>90</v>
      </c>
      <c r="X4" t="s">
        <v>61</v>
      </c>
      <c r="Y4" t="s">
        <v>47</v>
      </c>
      <c r="AA4" t="s">
        <v>91</v>
      </c>
      <c r="AF4" t="s">
        <v>92</v>
      </c>
      <c r="AI4" t="s">
        <v>93</v>
      </c>
      <c r="AJ4" t="s">
        <v>68</v>
      </c>
      <c r="AK4" t="s">
        <v>82</v>
      </c>
      <c r="AL4" t="s">
        <v>70</v>
      </c>
      <c r="AM4">
        <v>1</v>
      </c>
      <c r="AN4">
        <v>2026</v>
      </c>
      <c r="AO4" t="s">
        <v>71</v>
      </c>
      <c r="AP4">
        <v>9</v>
      </c>
      <c r="AQ4" t="s">
        <v>71</v>
      </c>
    </row>
    <row r="5" spans="1:48" x14ac:dyDescent="0.25">
      <c r="A5">
        <v>4</v>
      </c>
      <c r="B5" t="s">
        <v>83</v>
      </c>
      <c r="C5" t="s">
        <v>94</v>
      </c>
      <c r="D5" t="s">
        <v>95</v>
      </c>
      <c r="E5" t="s">
        <v>96</v>
      </c>
      <c r="F5" t="s">
        <v>47</v>
      </c>
      <c r="I5" t="s">
        <v>87</v>
      </c>
      <c r="K5" s="2">
        <v>46204.490996446802</v>
      </c>
      <c r="L5" s="2">
        <v>46212.3333494213</v>
      </c>
      <c r="M5" t="s">
        <v>76</v>
      </c>
      <c r="N5" t="s">
        <v>77</v>
      </c>
      <c r="O5" t="s">
        <v>54</v>
      </c>
      <c r="P5" t="s">
        <v>55</v>
      </c>
      <c r="Q5" t="s">
        <v>89</v>
      </c>
      <c r="S5" t="s">
        <v>68</v>
      </c>
      <c r="V5" t="s">
        <v>59</v>
      </c>
      <c r="W5" t="s">
        <v>90</v>
      </c>
      <c r="X5" t="s">
        <v>61</v>
      </c>
      <c r="Y5" t="s">
        <v>47</v>
      </c>
      <c r="AA5" t="s">
        <v>97</v>
      </c>
      <c r="AF5" t="s">
        <v>92</v>
      </c>
      <c r="AI5" t="s">
        <v>98</v>
      </c>
      <c r="AJ5" t="s">
        <v>68</v>
      </c>
      <c r="AK5" t="s">
        <v>82</v>
      </c>
      <c r="AL5" t="s">
        <v>70</v>
      </c>
      <c r="AM5">
        <v>1</v>
      </c>
      <c r="AN5">
        <v>2026</v>
      </c>
      <c r="AO5" t="s">
        <v>71</v>
      </c>
      <c r="AP5">
        <v>9</v>
      </c>
      <c r="AQ5" t="s">
        <v>71</v>
      </c>
    </row>
    <row r="6" spans="1:48" x14ac:dyDescent="0.25">
      <c r="A6">
        <v>5</v>
      </c>
      <c r="B6" t="s">
        <v>99</v>
      </c>
      <c r="C6" t="s">
        <v>100</v>
      </c>
      <c r="D6" t="s">
        <v>101</v>
      </c>
      <c r="E6" t="s">
        <v>102</v>
      </c>
      <c r="F6" t="s">
        <v>75</v>
      </c>
      <c r="I6" t="s">
        <v>103</v>
      </c>
      <c r="K6" s="2">
        <v>46204.368746990702</v>
      </c>
      <c r="L6" s="2">
        <v>46204.484939780101</v>
      </c>
      <c r="M6" t="s">
        <v>76</v>
      </c>
      <c r="N6" t="s">
        <v>77</v>
      </c>
      <c r="O6" t="s">
        <v>54</v>
      </c>
      <c r="P6" t="s">
        <v>55</v>
      </c>
      <c r="Q6" t="s">
        <v>56</v>
      </c>
      <c r="R6" t="s">
        <v>104</v>
      </c>
      <c r="S6" t="s">
        <v>68</v>
      </c>
      <c r="V6" t="s">
        <v>59</v>
      </c>
      <c r="W6" t="s">
        <v>90</v>
      </c>
      <c r="X6" t="s">
        <v>61</v>
      </c>
      <c r="Y6" t="s">
        <v>75</v>
      </c>
      <c r="AA6" t="s">
        <v>105</v>
      </c>
      <c r="AF6" t="s">
        <v>92</v>
      </c>
      <c r="AK6" t="s">
        <v>82</v>
      </c>
      <c r="AL6" t="s">
        <v>70</v>
      </c>
      <c r="AM6">
        <v>1</v>
      </c>
      <c r="AN6">
        <v>2026</v>
      </c>
      <c r="AO6" t="s">
        <v>71</v>
      </c>
      <c r="AP6">
        <v>1</v>
      </c>
      <c r="AQ6" t="s">
        <v>71</v>
      </c>
    </row>
    <row r="7" spans="1:48" x14ac:dyDescent="0.25">
      <c r="A7">
        <v>6</v>
      </c>
      <c r="B7" t="s">
        <v>106</v>
      </c>
      <c r="C7" t="s">
        <v>107</v>
      </c>
      <c r="D7" t="s">
        <v>108</v>
      </c>
      <c r="E7" t="s">
        <v>109</v>
      </c>
      <c r="F7" t="s">
        <v>47</v>
      </c>
      <c r="G7" t="s">
        <v>110</v>
      </c>
      <c r="H7" t="s">
        <v>111</v>
      </c>
      <c r="I7" t="s">
        <v>112</v>
      </c>
      <c r="J7" t="s">
        <v>51</v>
      </c>
      <c r="K7" s="2">
        <v>46204.500776469897</v>
      </c>
      <c r="L7" s="2">
        <v>46213.390374768504</v>
      </c>
      <c r="M7" t="s">
        <v>52</v>
      </c>
      <c r="N7" t="s">
        <v>53</v>
      </c>
      <c r="O7" t="s">
        <v>54</v>
      </c>
      <c r="P7" t="s">
        <v>88</v>
      </c>
      <c r="Q7" t="s">
        <v>113</v>
      </c>
      <c r="R7" t="s">
        <v>57</v>
      </c>
      <c r="S7" t="s">
        <v>58</v>
      </c>
      <c r="V7" t="s">
        <v>59</v>
      </c>
      <c r="W7" t="s">
        <v>60</v>
      </c>
      <c r="X7" t="s">
        <v>61</v>
      </c>
      <c r="Y7" t="s">
        <v>47</v>
      </c>
      <c r="Z7" t="s">
        <v>114</v>
      </c>
      <c r="AA7" t="s">
        <v>115</v>
      </c>
      <c r="AB7">
        <v>108220074</v>
      </c>
      <c r="AC7" t="s">
        <v>58</v>
      </c>
      <c r="AD7" s="2">
        <v>46212</v>
      </c>
      <c r="AE7" t="s">
        <v>116</v>
      </c>
      <c r="AF7" t="s">
        <v>117</v>
      </c>
      <c r="AG7" t="s">
        <v>66</v>
      </c>
      <c r="AI7" t="s">
        <v>118</v>
      </c>
      <c r="AJ7" t="s">
        <v>68</v>
      </c>
      <c r="AK7" t="s">
        <v>69</v>
      </c>
      <c r="AL7" t="s">
        <v>70</v>
      </c>
      <c r="AM7">
        <v>1</v>
      </c>
      <c r="AN7">
        <v>2026</v>
      </c>
      <c r="AO7" t="s">
        <v>71</v>
      </c>
      <c r="AP7">
        <v>10</v>
      </c>
      <c r="AQ7" t="s">
        <v>71</v>
      </c>
    </row>
    <row r="8" spans="1:48" x14ac:dyDescent="0.25">
      <c r="A8">
        <v>7</v>
      </c>
      <c r="B8" t="s">
        <v>106</v>
      </c>
      <c r="C8" t="s">
        <v>119</v>
      </c>
      <c r="D8" t="s">
        <v>120</v>
      </c>
      <c r="E8" t="s">
        <v>121</v>
      </c>
      <c r="F8" t="s">
        <v>75</v>
      </c>
      <c r="I8" t="s">
        <v>112</v>
      </c>
      <c r="K8" s="2">
        <v>46204.529563657401</v>
      </c>
      <c r="L8" s="2">
        <v>46212.3333494213</v>
      </c>
      <c r="M8" t="s">
        <v>76</v>
      </c>
      <c r="N8" t="s">
        <v>77</v>
      </c>
      <c r="O8" t="s">
        <v>54</v>
      </c>
      <c r="P8" t="s">
        <v>88</v>
      </c>
      <c r="Q8" t="s">
        <v>56</v>
      </c>
      <c r="S8" t="s">
        <v>68</v>
      </c>
      <c r="V8" t="s">
        <v>59</v>
      </c>
      <c r="W8" t="s">
        <v>60</v>
      </c>
      <c r="X8" t="s">
        <v>61</v>
      </c>
      <c r="Y8" t="s">
        <v>75</v>
      </c>
      <c r="AA8" t="s">
        <v>122</v>
      </c>
      <c r="AF8" t="s">
        <v>117</v>
      </c>
      <c r="AK8" t="s">
        <v>82</v>
      </c>
      <c r="AL8" t="s">
        <v>70</v>
      </c>
      <c r="AM8">
        <v>1</v>
      </c>
      <c r="AN8">
        <v>2026</v>
      </c>
      <c r="AO8" t="s">
        <v>71</v>
      </c>
      <c r="AP8">
        <v>9</v>
      </c>
      <c r="AQ8" t="s">
        <v>71</v>
      </c>
    </row>
    <row r="9" spans="1:48" x14ac:dyDescent="0.25">
      <c r="A9">
        <v>8</v>
      </c>
      <c r="B9" t="s">
        <v>106</v>
      </c>
      <c r="C9" t="s">
        <v>123</v>
      </c>
      <c r="D9" t="s">
        <v>124</v>
      </c>
      <c r="E9" t="s">
        <v>125</v>
      </c>
      <c r="F9" t="s">
        <v>47</v>
      </c>
      <c r="I9" t="s">
        <v>112</v>
      </c>
      <c r="K9" s="2">
        <v>46204.744512037003</v>
      </c>
      <c r="L9" s="2">
        <v>46212.3333494213</v>
      </c>
      <c r="M9" t="s">
        <v>76</v>
      </c>
      <c r="N9" t="s">
        <v>77</v>
      </c>
      <c r="O9" t="s">
        <v>54</v>
      </c>
      <c r="P9" t="s">
        <v>55</v>
      </c>
      <c r="Q9" t="s">
        <v>126</v>
      </c>
      <c r="S9" t="s">
        <v>68</v>
      </c>
      <c r="V9" t="s">
        <v>59</v>
      </c>
      <c r="W9" t="s">
        <v>60</v>
      </c>
      <c r="X9" t="s">
        <v>61</v>
      </c>
      <c r="Y9" t="s">
        <v>47</v>
      </c>
      <c r="AA9" t="s">
        <v>127</v>
      </c>
      <c r="AF9" t="s">
        <v>117</v>
      </c>
      <c r="AI9" t="s">
        <v>128</v>
      </c>
      <c r="AJ9" t="s">
        <v>68</v>
      </c>
      <c r="AK9" t="s">
        <v>82</v>
      </c>
      <c r="AL9" t="s">
        <v>70</v>
      </c>
      <c r="AM9">
        <v>1</v>
      </c>
      <c r="AN9">
        <v>2026</v>
      </c>
      <c r="AO9" t="s">
        <v>71</v>
      </c>
      <c r="AP9">
        <v>9</v>
      </c>
      <c r="AQ9" t="s">
        <v>71</v>
      </c>
    </row>
    <row r="10" spans="1:48" x14ac:dyDescent="0.25">
      <c r="A10">
        <v>9</v>
      </c>
      <c r="B10" t="s">
        <v>129</v>
      </c>
      <c r="C10" t="s">
        <v>130</v>
      </c>
      <c r="D10" t="s">
        <v>131</v>
      </c>
      <c r="E10" t="s">
        <v>132</v>
      </c>
      <c r="F10" t="s">
        <v>47</v>
      </c>
      <c r="I10" t="s">
        <v>133</v>
      </c>
      <c r="K10" s="2">
        <v>46204.483621608801</v>
      </c>
      <c r="L10" s="2">
        <v>46204.496653009301</v>
      </c>
      <c r="M10" t="s">
        <v>76</v>
      </c>
      <c r="N10" t="s">
        <v>77</v>
      </c>
      <c r="O10" t="s">
        <v>54</v>
      </c>
      <c r="P10" t="s">
        <v>55</v>
      </c>
      <c r="Q10" t="s">
        <v>56</v>
      </c>
      <c r="R10" t="s">
        <v>57</v>
      </c>
      <c r="S10" t="s">
        <v>68</v>
      </c>
      <c r="V10" t="s">
        <v>59</v>
      </c>
      <c r="W10" t="s">
        <v>60</v>
      </c>
      <c r="X10" t="s">
        <v>61</v>
      </c>
      <c r="Y10" t="s">
        <v>47</v>
      </c>
      <c r="AA10" t="s">
        <v>134</v>
      </c>
      <c r="AF10" t="s">
        <v>117</v>
      </c>
      <c r="AI10" t="s">
        <v>135</v>
      </c>
      <c r="AJ10" t="s">
        <v>68</v>
      </c>
      <c r="AK10" t="s">
        <v>82</v>
      </c>
      <c r="AL10" t="s">
        <v>70</v>
      </c>
      <c r="AM10">
        <v>1</v>
      </c>
      <c r="AN10">
        <v>2026</v>
      </c>
      <c r="AO10" t="s">
        <v>71</v>
      </c>
      <c r="AP10">
        <v>1</v>
      </c>
      <c r="AQ10" t="s">
        <v>71</v>
      </c>
    </row>
    <row r="11" spans="1:48" x14ac:dyDescent="0.25">
      <c r="A11">
        <v>10</v>
      </c>
      <c r="B11" t="s">
        <v>129</v>
      </c>
      <c r="C11" t="s">
        <v>136</v>
      </c>
      <c r="D11" t="s">
        <v>137</v>
      </c>
      <c r="E11" t="s">
        <v>138</v>
      </c>
      <c r="F11" t="s">
        <v>47</v>
      </c>
      <c r="I11" t="s">
        <v>133</v>
      </c>
      <c r="K11" s="2">
        <v>46204.637751851798</v>
      </c>
      <c r="L11" s="2">
        <v>46212.3333494213</v>
      </c>
      <c r="M11" t="s">
        <v>76</v>
      </c>
      <c r="N11" t="s">
        <v>77</v>
      </c>
      <c r="O11" t="s">
        <v>54</v>
      </c>
      <c r="P11" t="s">
        <v>88</v>
      </c>
      <c r="Q11" t="s">
        <v>79</v>
      </c>
      <c r="S11" t="s">
        <v>68</v>
      </c>
      <c r="V11" t="s">
        <v>59</v>
      </c>
      <c r="W11" t="s">
        <v>60</v>
      </c>
      <c r="X11" t="s">
        <v>61</v>
      </c>
      <c r="Y11" t="s">
        <v>47</v>
      </c>
      <c r="AA11" t="s">
        <v>139</v>
      </c>
      <c r="AF11" t="s">
        <v>117</v>
      </c>
      <c r="AI11" t="s">
        <v>140</v>
      </c>
      <c r="AJ11" t="s">
        <v>68</v>
      </c>
      <c r="AK11" t="s">
        <v>82</v>
      </c>
      <c r="AL11" t="s">
        <v>70</v>
      </c>
      <c r="AM11">
        <v>1</v>
      </c>
      <c r="AN11">
        <v>2026</v>
      </c>
      <c r="AO11" t="s">
        <v>71</v>
      </c>
      <c r="AP11">
        <v>9</v>
      </c>
      <c r="AQ11" t="s">
        <v>71</v>
      </c>
    </row>
    <row r="12" spans="1:48" x14ac:dyDescent="0.25">
      <c r="A12">
        <v>11</v>
      </c>
      <c r="B12" t="s">
        <v>141</v>
      </c>
      <c r="C12" t="s">
        <v>142</v>
      </c>
      <c r="D12" t="s">
        <v>143</v>
      </c>
      <c r="E12" t="s">
        <v>144</v>
      </c>
      <c r="F12" t="s">
        <v>47</v>
      </c>
      <c r="I12" t="s">
        <v>145</v>
      </c>
      <c r="K12" s="2">
        <v>46204.3533370718</v>
      </c>
      <c r="L12" s="2">
        <v>46212.3333494213</v>
      </c>
      <c r="M12" t="s">
        <v>76</v>
      </c>
      <c r="N12" t="s">
        <v>77</v>
      </c>
      <c r="O12" t="s">
        <v>54</v>
      </c>
      <c r="P12" t="s">
        <v>146</v>
      </c>
      <c r="Q12" t="s">
        <v>147</v>
      </c>
      <c r="S12" t="s">
        <v>68</v>
      </c>
      <c r="V12" t="s">
        <v>59</v>
      </c>
      <c r="W12" t="s">
        <v>90</v>
      </c>
      <c r="X12" t="s">
        <v>61</v>
      </c>
      <c r="Y12" t="s">
        <v>47</v>
      </c>
      <c r="AA12" t="s">
        <v>148</v>
      </c>
      <c r="AF12" t="s">
        <v>149</v>
      </c>
      <c r="AI12" t="s">
        <v>150</v>
      </c>
      <c r="AJ12" t="s">
        <v>68</v>
      </c>
      <c r="AK12" t="s">
        <v>82</v>
      </c>
      <c r="AL12" t="s">
        <v>70</v>
      </c>
      <c r="AM12">
        <v>1</v>
      </c>
      <c r="AN12">
        <v>2026</v>
      </c>
      <c r="AO12" t="s">
        <v>71</v>
      </c>
      <c r="AP12">
        <v>9</v>
      </c>
      <c r="AQ12" t="s">
        <v>71</v>
      </c>
    </row>
    <row r="13" spans="1:48" x14ac:dyDescent="0.25">
      <c r="A13">
        <v>12</v>
      </c>
      <c r="B13" t="s">
        <v>141</v>
      </c>
      <c r="C13" t="s">
        <v>151</v>
      </c>
      <c r="D13" t="s">
        <v>152</v>
      </c>
      <c r="E13" t="s">
        <v>153</v>
      </c>
      <c r="F13" t="s">
        <v>47</v>
      </c>
      <c r="I13" t="s">
        <v>145</v>
      </c>
      <c r="K13" s="2">
        <v>46204.356914699099</v>
      </c>
      <c r="L13" s="2">
        <v>46204.362691516202</v>
      </c>
      <c r="M13" t="s">
        <v>76</v>
      </c>
      <c r="N13" t="s">
        <v>77</v>
      </c>
      <c r="O13" t="s">
        <v>54</v>
      </c>
      <c r="P13" t="s">
        <v>55</v>
      </c>
      <c r="Q13" t="s">
        <v>154</v>
      </c>
      <c r="R13" t="s">
        <v>57</v>
      </c>
      <c r="S13" t="s">
        <v>68</v>
      </c>
      <c r="V13" t="s">
        <v>59</v>
      </c>
      <c r="W13" t="s">
        <v>90</v>
      </c>
      <c r="X13" t="s">
        <v>61</v>
      </c>
      <c r="Y13" t="s">
        <v>47</v>
      </c>
      <c r="AA13" t="s">
        <v>155</v>
      </c>
      <c r="AF13" t="s">
        <v>156</v>
      </c>
      <c r="AI13" t="s">
        <v>150</v>
      </c>
      <c r="AJ13" t="s">
        <v>68</v>
      </c>
      <c r="AK13" t="s">
        <v>82</v>
      </c>
      <c r="AL13" t="s">
        <v>70</v>
      </c>
      <c r="AM13">
        <v>1</v>
      </c>
      <c r="AN13">
        <v>2026</v>
      </c>
      <c r="AO13" t="s">
        <v>71</v>
      </c>
      <c r="AP13">
        <v>1</v>
      </c>
      <c r="AQ13" t="s">
        <v>71</v>
      </c>
    </row>
    <row r="14" spans="1:48" x14ac:dyDescent="0.25">
      <c r="A14">
        <v>13</v>
      </c>
      <c r="B14" t="s">
        <v>141</v>
      </c>
      <c r="C14" t="s">
        <v>157</v>
      </c>
      <c r="D14" t="s">
        <v>158</v>
      </c>
      <c r="E14" t="s">
        <v>159</v>
      </c>
      <c r="F14" t="s">
        <v>47</v>
      </c>
      <c r="I14" t="s">
        <v>145</v>
      </c>
      <c r="K14" s="2">
        <v>46204.360524919</v>
      </c>
      <c r="L14" s="2">
        <v>46212.3333494213</v>
      </c>
      <c r="M14" t="s">
        <v>76</v>
      </c>
      <c r="N14" t="s">
        <v>77</v>
      </c>
      <c r="O14" t="s">
        <v>54</v>
      </c>
      <c r="P14" t="s">
        <v>160</v>
      </c>
      <c r="Q14" t="s">
        <v>161</v>
      </c>
      <c r="S14" t="s">
        <v>68</v>
      </c>
      <c r="V14" t="s">
        <v>59</v>
      </c>
      <c r="W14" t="s">
        <v>90</v>
      </c>
      <c r="X14" t="s">
        <v>61</v>
      </c>
      <c r="Y14" t="s">
        <v>47</v>
      </c>
      <c r="AA14" t="s">
        <v>162</v>
      </c>
      <c r="AF14" t="s">
        <v>163</v>
      </c>
      <c r="AI14" t="s">
        <v>150</v>
      </c>
      <c r="AJ14" t="s">
        <v>68</v>
      </c>
      <c r="AK14" t="s">
        <v>82</v>
      </c>
      <c r="AL14" t="s">
        <v>70</v>
      </c>
      <c r="AM14">
        <v>1</v>
      </c>
      <c r="AN14">
        <v>2026</v>
      </c>
      <c r="AO14" t="s">
        <v>71</v>
      </c>
      <c r="AP14">
        <v>9</v>
      </c>
      <c r="AQ14" t="s">
        <v>71</v>
      </c>
    </row>
    <row r="15" spans="1:48" x14ac:dyDescent="0.25">
      <c r="A15">
        <v>14</v>
      </c>
      <c r="B15" t="s">
        <v>83</v>
      </c>
      <c r="C15" t="s">
        <v>164</v>
      </c>
      <c r="D15" t="s">
        <v>165</v>
      </c>
      <c r="E15" t="s">
        <v>166</v>
      </c>
      <c r="F15" t="s">
        <v>47</v>
      </c>
      <c r="I15" t="s">
        <v>87</v>
      </c>
      <c r="K15" s="2">
        <v>46205.340666354197</v>
      </c>
      <c r="L15" s="2">
        <v>46213.3333460301</v>
      </c>
      <c r="M15" t="s">
        <v>76</v>
      </c>
      <c r="N15" t="s">
        <v>77</v>
      </c>
      <c r="O15" t="s">
        <v>54</v>
      </c>
      <c r="P15" t="s">
        <v>55</v>
      </c>
      <c r="Q15" t="s">
        <v>89</v>
      </c>
      <c r="S15" t="s">
        <v>68</v>
      </c>
      <c r="V15" t="s">
        <v>59</v>
      </c>
      <c r="W15" t="s">
        <v>90</v>
      </c>
      <c r="X15" t="s">
        <v>61</v>
      </c>
      <c r="Y15" t="s">
        <v>47</v>
      </c>
      <c r="AA15" t="s">
        <v>167</v>
      </c>
      <c r="AF15" t="s">
        <v>92</v>
      </c>
      <c r="AI15" t="s">
        <v>168</v>
      </c>
      <c r="AJ15" t="s">
        <v>68</v>
      </c>
      <c r="AK15" t="s">
        <v>82</v>
      </c>
      <c r="AL15" t="s">
        <v>70</v>
      </c>
      <c r="AM15">
        <v>2</v>
      </c>
      <c r="AN15">
        <v>2026</v>
      </c>
      <c r="AO15" t="s">
        <v>71</v>
      </c>
      <c r="AP15">
        <v>10</v>
      </c>
      <c r="AQ15" t="s">
        <v>71</v>
      </c>
    </row>
    <row r="16" spans="1:48" x14ac:dyDescent="0.25">
      <c r="A16">
        <v>15</v>
      </c>
      <c r="B16" t="s">
        <v>83</v>
      </c>
      <c r="C16" t="s">
        <v>169</v>
      </c>
      <c r="D16" t="s">
        <v>170</v>
      </c>
      <c r="E16" t="s">
        <v>171</v>
      </c>
      <c r="F16" t="s">
        <v>47</v>
      </c>
      <c r="G16" t="s">
        <v>172</v>
      </c>
      <c r="H16" t="s">
        <v>173</v>
      </c>
      <c r="I16" t="s">
        <v>87</v>
      </c>
      <c r="J16" t="s">
        <v>51</v>
      </c>
      <c r="K16" s="2">
        <v>46205.365367326398</v>
      </c>
      <c r="L16" s="2">
        <v>46206.445523993098</v>
      </c>
      <c r="M16" t="s">
        <v>52</v>
      </c>
      <c r="N16" t="s">
        <v>53</v>
      </c>
      <c r="O16" t="s">
        <v>54</v>
      </c>
      <c r="P16" t="s">
        <v>174</v>
      </c>
      <c r="Q16" t="s">
        <v>175</v>
      </c>
      <c r="R16" t="s">
        <v>57</v>
      </c>
      <c r="S16" t="s">
        <v>58</v>
      </c>
      <c r="V16" t="s">
        <v>59</v>
      </c>
      <c r="W16" t="s">
        <v>90</v>
      </c>
      <c r="X16" t="s">
        <v>61</v>
      </c>
      <c r="Y16" t="s">
        <v>47</v>
      </c>
      <c r="Z16" t="s">
        <v>176</v>
      </c>
      <c r="AA16" t="s">
        <v>177</v>
      </c>
      <c r="AB16">
        <v>93600000</v>
      </c>
      <c r="AC16" t="s">
        <v>58</v>
      </c>
      <c r="AD16" s="2">
        <v>46206</v>
      </c>
      <c r="AE16" t="s">
        <v>178</v>
      </c>
      <c r="AF16" t="s">
        <v>92</v>
      </c>
      <c r="AG16" t="s">
        <v>66</v>
      </c>
      <c r="AI16" t="s">
        <v>179</v>
      </c>
      <c r="AJ16" t="s">
        <v>68</v>
      </c>
      <c r="AK16" t="s">
        <v>69</v>
      </c>
      <c r="AL16" t="s">
        <v>70</v>
      </c>
      <c r="AM16">
        <v>2</v>
      </c>
      <c r="AN16">
        <v>2026</v>
      </c>
      <c r="AO16" t="s">
        <v>71</v>
      </c>
      <c r="AP16">
        <v>3</v>
      </c>
      <c r="AQ16" t="s">
        <v>71</v>
      </c>
    </row>
    <row r="17" spans="1:43" x14ac:dyDescent="0.25">
      <c r="A17">
        <v>16</v>
      </c>
      <c r="B17" t="s">
        <v>83</v>
      </c>
      <c r="C17" t="s">
        <v>180</v>
      </c>
      <c r="D17" t="s">
        <v>181</v>
      </c>
      <c r="E17" t="s">
        <v>182</v>
      </c>
      <c r="F17" t="s">
        <v>47</v>
      </c>
      <c r="G17" t="s">
        <v>183</v>
      </c>
      <c r="H17" t="s">
        <v>184</v>
      </c>
      <c r="I17" t="s">
        <v>87</v>
      </c>
      <c r="J17" t="s">
        <v>51</v>
      </c>
      <c r="K17" s="2">
        <v>46205.388102777797</v>
      </c>
      <c r="L17" s="2">
        <v>46206.765417511597</v>
      </c>
      <c r="M17" t="s">
        <v>52</v>
      </c>
      <c r="N17" t="s">
        <v>53</v>
      </c>
      <c r="O17" t="s">
        <v>54</v>
      </c>
      <c r="P17" t="s">
        <v>78</v>
      </c>
      <c r="Q17" t="s">
        <v>185</v>
      </c>
      <c r="R17" t="s">
        <v>57</v>
      </c>
      <c r="S17" t="s">
        <v>58</v>
      </c>
      <c r="V17" t="s">
        <v>59</v>
      </c>
      <c r="W17" t="s">
        <v>90</v>
      </c>
      <c r="X17" t="s">
        <v>61</v>
      </c>
      <c r="Y17" t="s">
        <v>47</v>
      </c>
      <c r="Z17" t="s">
        <v>186</v>
      </c>
      <c r="AA17" t="s">
        <v>187</v>
      </c>
      <c r="AB17">
        <v>62050000</v>
      </c>
      <c r="AC17" t="s">
        <v>58</v>
      </c>
      <c r="AD17" s="2">
        <v>46206</v>
      </c>
      <c r="AE17" t="s">
        <v>188</v>
      </c>
      <c r="AF17" t="s">
        <v>92</v>
      </c>
      <c r="AG17" t="s">
        <v>66</v>
      </c>
      <c r="AI17" t="s">
        <v>189</v>
      </c>
      <c r="AJ17" t="s">
        <v>68</v>
      </c>
      <c r="AK17" t="s">
        <v>69</v>
      </c>
      <c r="AL17" t="s">
        <v>70</v>
      </c>
      <c r="AM17">
        <v>2</v>
      </c>
      <c r="AN17">
        <v>2026</v>
      </c>
      <c r="AO17" t="s">
        <v>71</v>
      </c>
      <c r="AP17">
        <v>3</v>
      </c>
      <c r="AQ17" t="s">
        <v>71</v>
      </c>
    </row>
    <row r="18" spans="1:43" x14ac:dyDescent="0.25">
      <c r="A18">
        <v>17</v>
      </c>
      <c r="B18" t="s">
        <v>83</v>
      </c>
      <c r="C18" t="s">
        <v>190</v>
      </c>
      <c r="D18" t="s">
        <v>191</v>
      </c>
      <c r="E18" t="s">
        <v>192</v>
      </c>
      <c r="F18" t="s">
        <v>47</v>
      </c>
      <c r="I18" t="s">
        <v>193</v>
      </c>
      <c r="K18" s="2">
        <v>46205.465427233801</v>
      </c>
      <c r="L18" s="2">
        <v>46213.3333460301</v>
      </c>
      <c r="M18" t="s">
        <v>76</v>
      </c>
      <c r="N18" t="s">
        <v>77</v>
      </c>
      <c r="O18" t="s">
        <v>54</v>
      </c>
      <c r="P18" t="s">
        <v>55</v>
      </c>
      <c r="Q18" t="s">
        <v>185</v>
      </c>
      <c r="S18" t="s">
        <v>68</v>
      </c>
      <c r="V18" t="s">
        <v>59</v>
      </c>
      <c r="W18" t="s">
        <v>90</v>
      </c>
      <c r="X18" t="s">
        <v>61</v>
      </c>
      <c r="Y18" t="s">
        <v>47</v>
      </c>
      <c r="AA18" t="s">
        <v>194</v>
      </c>
      <c r="AF18" t="s">
        <v>195</v>
      </c>
      <c r="AI18" t="s">
        <v>196</v>
      </c>
      <c r="AJ18" t="s">
        <v>68</v>
      </c>
      <c r="AK18" t="s">
        <v>82</v>
      </c>
      <c r="AL18" t="s">
        <v>70</v>
      </c>
      <c r="AM18">
        <v>2</v>
      </c>
      <c r="AN18">
        <v>2026</v>
      </c>
      <c r="AO18" t="s">
        <v>71</v>
      </c>
      <c r="AP18">
        <v>10</v>
      </c>
      <c r="AQ18" t="s">
        <v>71</v>
      </c>
    </row>
    <row r="19" spans="1:43" x14ac:dyDescent="0.25">
      <c r="A19">
        <v>18</v>
      </c>
      <c r="B19" t="s">
        <v>197</v>
      </c>
      <c r="C19" t="s">
        <v>198</v>
      </c>
      <c r="D19" t="s">
        <v>199</v>
      </c>
      <c r="E19" t="s">
        <v>200</v>
      </c>
      <c r="F19" t="s">
        <v>75</v>
      </c>
      <c r="I19" t="s">
        <v>201</v>
      </c>
      <c r="K19" s="2">
        <v>46205.399285682899</v>
      </c>
      <c r="L19" s="2">
        <v>46213.3333460301</v>
      </c>
      <c r="M19" t="s">
        <v>76</v>
      </c>
      <c r="N19" t="s">
        <v>77</v>
      </c>
      <c r="O19" t="s">
        <v>54</v>
      </c>
      <c r="P19" t="s">
        <v>55</v>
      </c>
      <c r="Q19" t="s">
        <v>113</v>
      </c>
      <c r="S19" t="s">
        <v>68</v>
      </c>
      <c r="V19" t="s">
        <v>59</v>
      </c>
      <c r="W19" t="s">
        <v>90</v>
      </c>
      <c r="X19" t="s">
        <v>61</v>
      </c>
      <c r="Y19" t="s">
        <v>75</v>
      </c>
      <c r="AA19" t="s">
        <v>202</v>
      </c>
      <c r="AF19" t="s">
        <v>92</v>
      </c>
      <c r="AK19" t="s">
        <v>82</v>
      </c>
      <c r="AL19" t="s">
        <v>70</v>
      </c>
      <c r="AM19">
        <v>2</v>
      </c>
      <c r="AN19">
        <v>2026</v>
      </c>
      <c r="AO19" t="s">
        <v>71</v>
      </c>
      <c r="AP19">
        <v>10</v>
      </c>
      <c r="AQ19" t="s">
        <v>71</v>
      </c>
    </row>
    <row r="20" spans="1:43" x14ac:dyDescent="0.25">
      <c r="A20">
        <v>19</v>
      </c>
      <c r="B20" t="s">
        <v>106</v>
      </c>
      <c r="C20" t="s">
        <v>203</v>
      </c>
      <c r="D20" t="s">
        <v>204</v>
      </c>
      <c r="E20" t="s">
        <v>205</v>
      </c>
      <c r="F20" t="s">
        <v>47</v>
      </c>
      <c r="I20" t="s">
        <v>112</v>
      </c>
      <c r="K20" s="2">
        <v>46205.5558690162</v>
      </c>
      <c r="L20" s="2">
        <v>46213.3333460301</v>
      </c>
      <c r="M20" t="s">
        <v>76</v>
      </c>
      <c r="N20" t="s">
        <v>77</v>
      </c>
      <c r="O20" t="s">
        <v>54</v>
      </c>
      <c r="P20" t="s">
        <v>55</v>
      </c>
      <c r="Q20" t="s">
        <v>113</v>
      </c>
      <c r="S20" t="s">
        <v>68</v>
      </c>
      <c r="V20" t="s">
        <v>59</v>
      </c>
      <c r="W20" t="s">
        <v>60</v>
      </c>
      <c r="X20" t="s">
        <v>61</v>
      </c>
      <c r="Y20" t="s">
        <v>47</v>
      </c>
      <c r="AA20" t="s">
        <v>206</v>
      </c>
      <c r="AF20" t="s">
        <v>117</v>
      </c>
      <c r="AI20" t="s">
        <v>207</v>
      </c>
      <c r="AJ20" t="s">
        <v>68</v>
      </c>
      <c r="AK20" t="s">
        <v>82</v>
      </c>
      <c r="AL20" t="s">
        <v>70</v>
      </c>
      <c r="AM20">
        <v>2</v>
      </c>
      <c r="AN20">
        <v>2026</v>
      </c>
      <c r="AO20" t="s">
        <v>71</v>
      </c>
      <c r="AP20">
        <v>10</v>
      </c>
      <c r="AQ20" t="s">
        <v>71</v>
      </c>
    </row>
    <row r="21" spans="1:43" x14ac:dyDescent="0.25">
      <c r="A21">
        <v>20</v>
      </c>
      <c r="B21" t="s">
        <v>106</v>
      </c>
      <c r="C21" t="s">
        <v>208</v>
      </c>
      <c r="D21" t="s">
        <v>209</v>
      </c>
      <c r="E21" t="s">
        <v>210</v>
      </c>
      <c r="F21" t="s">
        <v>47</v>
      </c>
      <c r="I21" t="s">
        <v>112</v>
      </c>
      <c r="K21" s="2">
        <v>46205.666242905099</v>
      </c>
      <c r="L21" s="2">
        <v>46213.3333460301</v>
      </c>
      <c r="M21" t="s">
        <v>76</v>
      </c>
      <c r="N21" t="s">
        <v>77</v>
      </c>
      <c r="O21" t="s">
        <v>54</v>
      </c>
      <c r="P21" t="s">
        <v>88</v>
      </c>
      <c r="Q21" t="s">
        <v>89</v>
      </c>
      <c r="S21" t="s">
        <v>68</v>
      </c>
      <c r="V21" t="s">
        <v>59</v>
      </c>
      <c r="W21" t="s">
        <v>60</v>
      </c>
      <c r="X21" t="s">
        <v>61</v>
      </c>
      <c r="Y21" t="s">
        <v>47</v>
      </c>
      <c r="AA21" t="s">
        <v>211</v>
      </c>
      <c r="AF21" t="s">
        <v>117</v>
      </c>
      <c r="AI21" t="s">
        <v>212</v>
      </c>
      <c r="AJ21" t="s">
        <v>68</v>
      </c>
      <c r="AK21" t="s">
        <v>82</v>
      </c>
      <c r="AL21" t="s">
        <v>70</v>
      </c>
      <c r="AM21">
        <v>2</v>
      </c>
      <c r="AN21">
        <v>2026</v>
      </c>
      <c r="AO21" t="s">
        <v>71</v>
      </c>
      <c r="AP21">
        <v>10</v>
      </c>
      <c r="AQ21" t="s">
        <v>71</v>
      </c>
    </row>
    <row r="22" spans="1:43" x14ac:dyDescent="0.25">
      <c r="A22">
        <v>21</v>
      </c>
      <c r="B22" t="s">
        <v>213</v>
      </c>
      <c r="C22" t="s">
        <v>214</v>
      </c>
      <c r="D22" t="s">
        <v>215</v>
      </c>
      <c r="E22" t="s">
        <v>216</v>
      </c>
      <c r="F22" t="s">
        <v>47</v>
      </c>
      <c r="I22" t="s">
        <v>217</v>
      </c>
      <c r="K22" s="2">
        <v>46205.964629895803</v>
      </c>
      <c r="L22" s="2">
        <v>46214.333341782403</v>
      </c>
      <c r="M22" t="s">
        <v>76</v>
      </c>
      <c r="N22" t="s">
        <v>77</v>
      </c>
      <c r="O22" t="s">
        <v>54</v>
      </c>
      <c r="P22" t="s">
        <v>55</v>
      </c>
      <c r="Q22" t="s">
        <v>218</v>
      </c>
      <c r="S22" t="s">
        <v>68</v>
      </c>
      <c r="V22" t="s">
        <v>59</v>
      </c>
      <c r="W22" t="s">
        <v>90</v>
      </c>
      <c r="X22" t="s">
        <v>61</v>
      </c>
      <c r="Y22" t="s">
        <v>47</v>
      </c>
      <c r="AA22" t="s">
        <v>219</v>
      </c>
      <c r="AF22" t="s">
        <v>220</v>
      </c>
      <c r="AI22" t="s">
        <v>221</v>
      </c>
      <c r="AJ22" t="s">
        <v>68</v>
      </c>
      <c r="AK22" t="s">
        <v>82</v>
      </c>
      <c r="AL22" t="s">
        <v>70</v>
      </c>
      <c r="AM22">
        <v>2</v>
      </c>
      <c r="AN22">
        <v>2026</v>
      </c>
      <c r="AO22" t="s">
        <v>71</v>
      </c>
      <c r="AP22">
        <v>11</v>
      </c>
      <c r="AQ22" t="s">
        <v>71</v>
      </c>
    </row>
    <row r="23" spans="1:43" x14ac:dyDescent="0.25">
      <c r="A23">
        <v>22</v>
      </c>
      <c r="B23" t="s">
        <v>222</v>
      </c>
      <c r="C23" t="s">
        <v>223</v>
      </c>
      <c r="D23" t="s">
        <v>224</v>
      </c>
      <c r="E23" t="s">
        <v>225</v>
      </c>
      <c r="F23" t="s">
        <v>75</v>
      </c>
      <c r="I23" t="s">
        <v>226</v>
      </c>
      <c r="K23" s="2">
        <v>46205.423178437501</v>
      </c>
      <c r="L23" s="2">
        <v>46213.3333460301</v>
      </c>
      <c r="M23" t="s">
        <v>76</v>
      </c>
      <c r="N23" t="s">
        <v>77</v>
      </c>
      <c r="O23" t="s">
        <v>54</v>
      </c>
      <c r="P23" t="s">
        <v>55</v>
      </c>
      <c r="Q23" t="s">
        <v>126</v>
      </c>
      <c r="S23" t="s">
        <v>68</v>
      </c>
      <c r="V23" t="s">
        <v>59</v>
      </c>
      <c r="W23" t="s">
        <v>90</v>
      </c>
      <c r="X23" t="s">
        <v>61</v>
      </c>
      <c r="Y23" t="s">
        <v>75</v>
      </c>
      <c r="AA23" t="s">
        <v>227</v>
      </c>
      <c r="AF23" t="s">
        <v>228</v>
      </c>
      <c r="AK23" t="s">
        <v>82</v>
      </c>
      <c r="AL23" t="s">
        <v>70</v>
      </c>
      <c r="AM23">
        <v>2</v>
      </c>
      <c r="AN23">
        <v>2026</v>
      </c>
      <c r="AO23" t="s">
        <v>71</v>
      </c>
      <c r="AP23">
        <v>10</v>
      </c>
      <c r="AQ23" t="s">
        <v>71</v>
      </c>
    </row>
    <row r="24" spans="1:43" x14ac:dyDescent="0.25">
      <c r="A24">
        <v>23</v>
      </c>
      <c r="B24" t="s">
        <v>229</v>
      </c>
      <c r="C24" t="s">
        <v>230</v>
      </c>
      <c r="D24" t="s">
        <v>231</v>
      </c>
      <c r="E24" t="s">
        <v>232</v>
      </c>
      <c r="F24" t="s">
        <v>47</v>
      </c>
      <c r="I24" t="s">
        <v>233</v>
      </c>
      <c r="K24" s="2">
        <v>46205.625857025501</v>
      </c>
      <c r="L24" s="2">
        <v>46213.3333460301</v>
      </c>
      <c r="M24" t="s">
        <v>76</v>
      </c>
      <c r="N24" t="s">
        <v>77</v>
      </c>
      <c r="O24" t="s">
        <v>54</v>
      </c>
      <c r="P24" t="s">
        <v>55</v>
      </c>
      <c r="Q24" t="s">
        <v>113</v>
      </c>
      <c r="S24" t="s">
        <v>68</v>
      </c>
      <c r="V24" t="s">
        <v>59</v>
      </c>
      <c r="W24" t="s">
        <v>90</v>
      </c>
      <c r="X24" t="s">
        <v>61</v>
      </c>
      <c r="Y24" t="s">
        <v>47</v>
      </c>
      <c r="AA24" t="s">
        <v>234</v>
      </c>
      <c r="AF24" t="s">
        <v>235</v>
      </c>
      <c r="AI24" t="s">
        <v>236</v>
      </c>
      <c r="AJ24" t="s">
        <v>68</v>
      </c>
      <c r="AK24" t="s">
        <v>82</v>
      </c>
      <c r="AL24" t="s">
        <v>70</v>
      </c>
      <c r="AM24">
        <v>2</v>
      </c>
      <c r="AN24">
        <v>2026</v>
      </c>
      <c r="AO24" t="s">
        <v>71</v>
      </c>
      <c r="AP24">
        <v>10</v>
      </c>
      <c r="AQ24" t="s">
        <v>71</v>
      </c>
    </row>
    <row r="25" spans="1:43" x14ac:dyDescent="0.25">
      <c r="A25">
        <v>24</v>
      </c>
      <c r="B25" t="s">
        <v>229</v>
      </c>
      <c r="C25" t="s">
        <v>237</v>
      </c>
      <c r="D25" t="s">
        <v>238</v>
      </c>
      <c r="E25" t="s">
        <v>239</v>
      </c>
      <c r="F25" t="s">
        <v>47</v>
      </c>
      <c r="H25" t="s">
        <v>240</v>
      </c>
      <c r="I25" t="s">
        <v>233</v>
      </c>
      <c r="J25" t="s">
        <v>51</v>
      </c>
      <c r="K25" s="2">
        <v>46205.693371261601</v>
      </c>
      <c r="L25" s="2">
        <v>46216.7117861921</v>
      </c>
      <c r="M25" t="s">
        <v>241</v>
      </c>
      <c r="N25" t="s">
        <v>242</v>
      </c>
      <c r="O25" t="s">
        <v>54</v>
      </c>
      <c r="P25" t="s">
        <v>55</v>
      </c>
      <c r="Q25" t="s">
        <v>113</v>
      </c>
      <c r="R25" t="s">
        <v>243</v>
      </c>
      <c r="S25" t="s">
        <v>58</v>
      </c>
      <c r="V25" t="s">
        <v>59</v>
      </c>
      <c r="W25" t="s">
        <v>90</v>
      </c>
      <c r="X25" t="s">
        <v>61</v>
      </c>
      <c r="Y25" t="s">
        <v>47</v>
      </c>
      <c r="Z25" t="s">
        <v>62</v>
      </c>
      <c r="AA25" t="s">
        <v>244</v>
      </c>
      <c r="AC25" t="s">
        <v>58</v>
      </c>
      <c r="AD25" s="2">
        <v>46216</v>
      </c>
      <c r="AE25" t="s">
        <v>245</v>
      </c>
      <c r="AF25" t="s">
        <v>245</v>
      </c>
      <c r="AG25" t="s">
        <v>246</v>
      </c>
      <c r="AI25" t="s">
        <v>247</v>
      </c>
      <c r="AJ25" t="s">
        <v>68</v>
      </c>
      <c r="AK25" t="s">
        <v>248</v>
      </c>
      <c r="AL25" t="s">
        <v>70</v>
      </c>
      <c r="AM25">
        <v>2</v>
      </c>
      <c r="AN25">
        <v>2026</v>
      </c>
      <c r="AO25" t="s">
        <v>71</v>
      </c>
      <c r="AP25">
        <v>13</v>
      </c>
      <c r="AQ25" t="s">
        <v>71</v>
      </c>
    </row>
    <row r="26" spans="1:43" x14ac:dyDescent="0.25">
      <c r="A26">
        <v>25</v>
      </c>
      <c r="B26" t="s">
        <v>249</v>
      </c>
      <c r="C26" t="s">
        <v>250</v>
      </c>
      <c r="D26" t="s">
        <v>251</v>
      </c>
      <c r="E26" t="s">
        <v>252</v>
      </c>
      <c r="F26" t="s">
        <v>47</v>
      </c>
      <c r="H26" t="s">
        <v>253</v>
      </c>
      <c r="I26" t="s">
        <v>254</v>
      </c>
      <c r="J26" t="s">
        <v>51</v>
      </c>
      <c r="K26" s="2">
        <v>46205.353950810197</v>
      </c>
      <c r="L26" s="2">
        <v>46206.719757372703</v>
      </c>
      <c r="M26" t="s">
        <v>241</v>
      </c>
      <c r="N26" t="s">
        <v>242</v>
      </c>
      <c r="O26" t="s">
        <v>54</v>
      </c>
      <c r="P26" t="s">
        <v>55</v>
      </c>
      <c r="Q26" t="s">
        <v>56</v>
      </c>
      <c r="R26" t="s">
        <v>243</v>
      </c>
      <c r="S26" t="s">
        <v>58</v>
      </c>
      <c r="V26" t="s">
        <v>59</v>
      </c>
      <c r="W26" t="s">
        <v>90</v>
      </c>
      <c r="X26" t="s">
        <v>61</v>
      </c>
      <c r="Y26" t="s">
        <v>47</v>
      </c>
      <c r="Z26" t="s">
        <v>255</v>
      </c>
      <c r="AA26" t="s">
        <v>256</v>
      </c>
      <c r="AC26" t="s">
        <v>58</v>
      </c>
      <c r="AD26" s="2">
        <v>46206</v>
      </c>
      <c r="AE26" t="s">
        <v>92</v>
      </c>
      <c r="AF26" t="s">
        <v>92</v>
      </c>
      <c r="AG26" t="s">
        <v>246</v>
      </c>
      <c r="AI26" t="s">
        <v>257</v>
      </c>
      <c r="AJ26" t="s">
        <v>68</v>
      </c>
      <c r="AK26" t="s">
        <v>248</v>
      </c>
      <c r="AL26" t="s">
        <v>70</v>
      </c>
      <c r="AM26">
        <v>2</v>
      </c>
      <c r="AN26">
        <v>2026</v>
      </c>
      <c r="AO26" t="s">
        <v>71</v>
      </c>
      <c r="AP26">
        <v>3</v>
      </c>
      <c r="AQ26" t="s">
        <v>71</v>
      </c>
    </row>
    <row r="27" spans="1:43" x14ac:dyDescent="0.25">
      <c r="A27">
        <v>26</v>
      </c>
      <c r="B27" t="s">
        <v>249</v>
      </c>
      <c r="C27" t="s">
        <v>258</v>
      </c>
      <c r="D27" t="s">
        <v>259</v>
      </c>
      <c r="E27" t="s">
        <v>260</v>
      </c>
      <c r="F27" t="s">
        <v>47</v>
      </c>
      <c r="I27" t="s">
        <v>254</v>
      </c>
      <c r="K27" s="2">
        <v>46205.584851585598</v>
      </c>
      <c r="L27" s="2">
        <v>46213.3333460301</v>
      </c>
      <c r="M27" t="s">
        <v>76</v>
      </c>
      <c r="N27" t="s">
        <v>77</v>
      </c>
      <c r="O27" t="s">
        <v>54</v>
      </c>
      <c r="P27" t="s">
        <v>55</v>
      </c>
      <c r="Q27" t="s">
        <v>147</v>
      </c>
      <c r="S27" t="s">
        <v>68</v>
      </c>
      <c r="V27" t="s">
        <v>59</v>
      </c>
      <c r="W27" t="s">
        <v>90</v>
      </c>
      <c r="X27" t="s">
        <v>61</v>
      </c>
      <c r="Y27" t="s">
        <v>47</v>
      </c>
      <c r="AA27" t="s">
        <v>261</v>
      </c>
      <c r="AF27" t="s">
        <v>92</v>
      </c>
      <c r="AI27" t="s">
        <v>262</v>
      </c>
      <c r="AJ27" t="s">
        <v>68</v>
      </c>
      <c r="AK27" t="s">
        <v>82</v>
      </c>
      <c r="AL27" t="s">
        <v>70</v>
      </c>
      <c r="AM27">
        <v>2</v>
      </c>
      <c r="AN27">
        <v>2026</v>
      </c>
      <c r="AO27" t="s">
        <v>71</v>
      </c>
      <c r="AP27">
        <v>10</v>
      </c>
      <c r="AQ27" t="s">
        <v>71</v>
      </c>
    </row>
    <row r="28" spans="1:43" x14ac:dyDescent="0.25">
      <c r="A28">
        <v>27</v>
      </c>
      <c r="B28" t="s">
        <v>263</v>
      </c>
      <c r="C28" t="s">
        <v>264</v>
      </c>
      <c r="D28" t="s">
        <v>265</v>
      </c>
      <c r="E28" t="s">
        <v>266</v>
      </c>
      <c r="F28" t="s">
        <v>47</v>
      </c>
      <c r="I28" t="s">
        <v>267</v>
      </c>
      <c r="K28" s="2">
        <v>46205.618584525502</v>
      </c>
      <c r="L28" s="2">
        <v>46213.3333460301</v>
      </c>
      <c r="M28" t="s">
        <v>76</v>
      </c>
      <c r="N28" t="s">
        <v>77</v>
      </c>
      <c r="O28" t="s">
        <v>54</v>
      </c>
      <c r="P28" t="s">
        <v>55</v>
      </c>
      <c r="Q28" t="s">
        <v>56</v>
      </c>
      <c r="S28" t="s">
        <v>68</v>
      </c>
      <c r="V28" t="s">
        <v>59</v>
      </c>
      <c r="W28" t="s">
        <v>90</v>
      </c>
      <c r="X28" t="s">
        <v>61</v>
      </c>
      <c r="Y28" t="s">
        <v>47</v>
      </c>
      <c r="AA28" t="s">
        <v>268</v>
      </c>
      <c r="AF28" t="s">
        <v>92</v>
      </c>
      <c r="AI28" t="s">
        <v>269</v>
      </c>
      <c r="AJ28" t="s">
        <v>68</v>
      </c>
      <c r="AK28" t="s">
        <v>82</v>
      </c>
      <c r="AL28" t="s">
        <v>70</v>
      </c>
      <c r="AM28">
        <v>2</v>
      </c>
      <c r="AN28">
        <v>2026</v>
      </c>
      <c r="AO28" t="s">
        <v>71</v>
      </c>
      <c r="AP28">
        <v>10</v>
      </c>
      <c r="AQ28" t="s">
        <v>71</v>
      </c>
    </row>
    <row r="29" spans="1:43" x14ac:dyDescent="0.25">
      <c r="A29">
        <v>28</v>
      </c>
      <c r="B29" t="s">
        <v>270</v>
      </c>
      <c r="C29" t="s">
        <v>271</v>
      </c>
      <c r="D29" t="s">
        <v>272</v>
      </c>
      <c r="E29" t="s">
        <v>273</v>
      </c>
      <c r="F29" t="s">
        <v>274</v>
      </c>
      <c r="I29" t="s">
        <v>275</v>
      </c>
      <c r="K29" s="2">
        <v>46205.471237071797</v>
      </c>
      <c r="L29" s="2">
        <v>46213.3333460301</v>
      </c>
      <c r="M29" t="s">
        <v>76</v>
      </c>
      <c r="N29" t="s">
        <v>77</v>
      </c>
      <c r="O29" t="s">
        <v>54</v>
      </c>
      <c r="P29" t="s">
        <v>55</v>
      </c>
      <c r="Q29" t="s">
        <v>147</v>
      </c>
      <c r="S29" t="s">
        <v>68</v>
      </c>
      <c r="V29" t="s">
        <v>59</v>
      </c>
      <c r="W29" t="s">
        <v>90</v>
      </c>
      <c r="X29" t="s">
        <v>61</v>
      </c>
      <c r="Y29" t="s">
        <v>274</v>
      </c>
      <c r="AA29" t="s">
        <v>276</v>
      </c>
      <c r="AF29" t="s">
        <v>92</v>
      </c>
      <c r="AK29" t="s">
        <v>82</v>
      </c>
      <c r="AL29" t="s">
        <v>277</v>
      </c>
      <c r="AM29">
        <v>2</v>
      </c>
      <c r="AN29">
        <v>2026</v>
      </c>
      <c r="AO29" t="s">
        <v>71</v>
      </c>
      <c r="AP29">
        <v>10</v>
      </c>
      <c r="AQ29" t="s">
        <v>71</v>
      </c>
    </row>
    <row r="30" spans="1:43" x14ac:dyDescent="0.25">
      <c r="A30">
        <v>29</v>
      </c>
      <c r="B30" t="s">
        <v>278</v>
      </c>
      <c r="C30" t="s">
        <v>279</v>
      </c>
      <c r="D30" t="s">
        <v>280</v>
      </c>
      <c r="E30" t="s">
        <v>281</v>
      </c>
      <c r="F30" t="s">
        <v>47</v>
      </c>
      <c r="G30" t="s">
        <v>282</v>
      </c>
      <c r="H30" t="s">
        <v>283</v>
      </c>
      <c r="I30" t="s">
        <v>284</v>
      </c>
      <c r="J30" t="s">
        <v>51</v>
      </c>
      <c r="K30" s="2">
        <v>46205.450352083302</v>
      </c>
      <c r="L30" s="2">
        <v>46211.269548958298</v>
      </c>
      <c r="M30" t="s">
        <v>52</v>
      </c>
      <c r="N30" t="s">
        <v>53</v>
      </c>
      <c r="O30" t="s">
        <v>54</v>
      </c>
      <c r="P30" t="s">
        <v>285</v>
      </c>
      <c r="Q30" t="s">
        <v>126</v>
      </c>
      <c r="R30" t="s">
        <v>286</v>
      </c>
      <c r="S30" t="s">
        <v>58</v>
      </c>
      <c r="V30" t="s">
        <v>59</v>
      </c>
      <c r="W30" t="s">
        <v>90</v>
      </c>
      <c r="X30" t="s">
        <v>61</v>
      </c>
      <c r="Y30" t="s">
        <v>47</v>
      </c>
      <c r="Z30" t="s">
        <v>114</v>
      </c>
      <c r="AA30" t="s">
        <v>287</v>
      </c>
      <c r="AB30">
        <v>64800060</v>
      </c>
      <c r="AC30" t="s">
        <v>58</v>
      </c>
      <c r="AD30" s="2">
        <v>46209</v>
      </c>
      <c r="AE30" t="s">
        <v>288</v>
      </c>
      <c r="AF30" t="s">
        <v>289</v>
      </c>
      <c r="AG30" t="s">
        <v>66</v>
      </c>
      <c r="AI30" t="s">
        <v>179</v>
      </c>
      <c r="AJ30" t="s">
        <v>68</v>
      </c>
      <c r="AK30" t="s">
        <v>69</v>
      </c>
      <c r="AL30" t="s">
        <v>70</v>
      </c>
      <c r="AM30">
        <v>2</v>
      </c>
      <c r="AN30">
        <v>2026</v>
      </c>
      <c r="AO30" t="s">
        <v>71</v>
      </c>
      <c r="AP30">
        <v>8</v>
      </c>
      <c r="AQ30" t="s">
        <v>71</v>
      </c>
    </row>
    <row r="31" spans="1:43" x14ac:dyDescent="0.25">
      <c r="A31">
        <v>30</v>
      </c>
      <c r="B31" t="s">
        <v>43</v>
      </c>
      <c r="C31" t="s">
        <v>290</v>
      </c>
      <c r="D31" t="s">
        <v>291</v>
      </c>
      <c r="E31" t="s">
        <v>292</v>
      </c>
      <c r="F31" t="s">
        <v>47</v>
      </c>
      <c r="G31" t="s">
        <v>293</v>
      </c>
      <c r="H31" t="s">
        <v>294</v>
      </c>
      <c r="I31" t="s">
        <v>50</v>
      </c>
      <c r="J31" t="s">
        <v>295</v>
      </c>
      <c r="K31" s="2">
        <v>46206.424454861102</v>
      </c>
      <c r="L31" s="2">
        <v>46210.479607025503</v>
      </c>
      <c r="M31" t="s">
        <v>52</v>
      </c>
      <c r="N31" t="s">
        <v>53</v>
      </c>
      <c r="O31" t="s">
        <v>54</v>
      </c>
      <c r="P31" t="s">
        <v>55</v>
      </c>
      <c r="Q31" t="s">
        <v>296</v>
      </c>
      <c r="R31" t="s">
        <v>57</v>
      </c>
      <c r="S31" t="s">
        <v>58</v>
      </c>
      <c r="V31" t="s">
        <v>59</v>
      </c>
      <c r="W31" t="s">
        <v>60</v>
      </c>
      <c r="X31" t="s">
        <v>61</v>
      </c>
      <c r="Y31" t="s">
        <v>47</v>
      </c>
      <c r="Z31" t="s">
        <v>62</v>
      </c>
      <c r="AA31" t="s">
        <v>297</v>
      </c>
      <c r="AB31">
        <v>174939500</v>
      </c>
      <c r="AC31" t="s">
        <v>58</v>
      </c>
      <c r="AD31" s="2">
        <v>46209</v>
      </c>
      <c r="AE31" t="s">
        <v>298</v>
      </c>
      <c r="AF31" t="s">
        <v>298</v>
      </c>
      <c r="AG31" t="s">
        <v>66</v>
      </c>
      <c r="AI31" t="s">
        <v>67</v>
      </c>
      <c r="AJ31" t="s">
        <v>68</v>
      </c>
      <c r="AK31" t="s">
        <v>69</v>
      </c>
      <c r="AL31" t="s">
        <v>70</v>
      </c>
      <c r="AM31">
        <v>3</v>
      </c>
      <c r="AN31">
        <v>2026</v>
      </c>
      <c r="AO31" t="s">
        <v>71</v>
      </c>
      <c r="AP31">
        <v>7</v>
      </c>
      <c r="AQ31" t="s">
        <v>71</v>
      </c>
    </row>
    <row r="32" spans="1:43" x14ac:dyDescent="0.25">
      <c r="A32">
        <v>31</v>
      </c>
      <c r="B32" t="s">
        <v>43</v>
      </c>
      <c r="C32" t="s">
        <v>299</v>
      </c>
      <c r="D32" t="s">
        <v>300</v>
      </c>
      <c r="E32" t="s">
        <v>301</v>
      </c>
      <c r="F32" t="s">
        <v>47</v>
      </c>
      <c r="I32" t="s">
        <v>50</v>
      </c>
      <c r="K32" s="2">
        <v>46206.427349386599</v>
      </c>
      <c r="L32" s="2">
        <v>46206.442106053197</v>
      </c>
      <c r="M32" t="s">
        <v>76</v>
      </c>
      <c r="N32" t="s">
        <v>77</v>
      </c>
      <c r="O32" t="s">
        <v>54</v>
      </c>
      <c r="P32" t="s">
        <v>55</v>
      </c>
      <c r="Q32" t="s">
        <v>296</v>
      </c>
      <c r="R32" t="s">
        <v>57</v>
      </c>
      <c r="S32" t="s">
        <v>68</v>
      </c>
      <c r="V32" t="s">
        <v>59</v>
      </c>
      <c r="W32" t="s">
        <v>60</v>
      </c>
      <c r="X32" t="s">
        <v>61</v>
      </c>
      <c r="Y32" t="s">
        <v>47</v>
      </c>
      <c r="AA32" t="s">
        <v>302</v>
      </c>
      <c r="AF32" t="s">
        <v>298</v>
      </c>
      <c r="AI32" t="s">
        <v>67</v>
      </c>
      <c r="AJ32" t="s">
        <v>68</v>
      </c>
      <c r="AK32" t="s">
        <v>82</v>
      </c>
      <c r="AL32" t="s">
        <v>70</v>
      </c>
      <c r="AM32">
        <v>3</v>
      </c>
      <c r="AN32">
        <v>2026</v>
      </c>
      <c r="AO32" t="s">
        <v>71</v>
      </c>
      <c r="AP32">
        <v>3</v>
      </c>
      <c r="AQ32" t="s">
        <v>71</v>
      </c>
    </row>
    <row r="33" spans="1:43" x14ac:dyDescent="0.25">
      <c r="A33">
        <v>32</v>
      </c>
      <c r="B33" t="s">
        <v>83</v>
      </c>
      <c r="C33" t="s">
        <v>303</v>
      </c>
      <c r="D33" t="s">
        <v>304</v>
      </c>
      <c r="E33" t="s">
        <v>305</v>
      </c>
      <c r="F33" t="s">
        <v>47</v>
      </c>
      <c r="I33" t="s">
        <v>193</v>
      </c>
      <c r="K33" s="2">
        <v>46206.353523611098</v>
      </c>
      <c r="L33" s="2">
        <v>46206.431224652799</v>
      </c>
      <c r="M33" t="s">
        <v>76</v>
      </c>
      <c r="N33" t="s">
        <v>77</v>
      </c>
      <c r="O33" t="s">
        <v>54</v>
      </c>
      <c r="P33" t="s">
        <v>55</v>
      </c>
      <c r="Q33" t="s">
        <v>79</v>
      </c>
      <c r="R33" t="s">
        <v>306</v>
      </c>
      <c r="S33" t="s">
        <v>68</v>
      </c>
      <c r="V33" t="s">
        <v>59</v>
      </c>
      <c r="W33" t="s">
        <v>90</v>
      </c>
      <c r="X33" t="s">
        <v>61</v>
      </c>
      <c r="Y33" t="s">
        <v>47</v>
      </c>
      <c r="AA33" t="s">
        <v>307</v>
      </c>
      <c r="AF33" t="s">
        <v>195</v>
      </c>
      <c r="AI33" t="s">
        <v>308</v>
      </c>
      <c r="AJ33" t="s">
        <v>68</v>
      </c>
      <c r="AK33" t="s">
        <v>82</v>
      </c>
      <c r="AL33" t="s">
        <v>70</v>
      </c>
      <c r="AM33">
        <v>3</v>
      </c>
      <c r="AN33">
        <v>2026</v>
      </c>
      <c r="AO33" t="s">
        <v>71</v>
      </c>
      <c r="AP33">
        <v>3</v>
      </c>
      <c r="AQ33" t="s">
        <v>71</v>
      </c>
    </row>
    <row r="34" spans="1:43" x14ac:dyDescent="0.25">
      <c r="A34">
        <v>33</v>
      </c>
      <c r="B34" t="s">
        <v>83</v>
      </c>
      <c r="C34" t="s">
        <v>309</v>
      </c>
      <c r="D34" t="s">
        <v>310</v>
      </c>
      <c r="E34" t="s">
        <v>311</v>
      </c>
      <c r="F34" t="s">
        <v>47</v>
      </c>
      <c r="I34" t="s">
        <v>87</v>
      </c>
      <c r="K34" s="2">
        <v>46206.436638576401</v>
      </c>
      <c r="L34" s="2">
        <v>46214.333341782403</v>
      </c>
      <c r="M34" t="s">
        <v>76</v>
      </c>
      <c r="N34" t="s">
        <v>77</v>
      </c>
      <c r="O34" t="s">
        <v>54</v>
      </c>
      <c r="P34" t="s">
        <v>174</v>
      </c>
      <c r="Q34" t="s">
        <v>154</v>
      </c>
      <c r="S34" t="s">
        <v>68</v>
      </c>
      <c r="V34" t="s">
        <v>59</v>
      </c>
      <c r="W34" t="s">
        <v>90</v>
      </c>
      <c r="X34" t="s">
        <v>61</v>
      </c>
      <c r="Y34" t="s">
        <v>47</v>
      </c>
      <c r="AA34" t="s">
        <v>312</v>
      </c>
      <c r="AF34" t="s">
        <v>313</v>
      </c>
      <c r="AI34" t="s">
        <v>314</v>
      </c>
      <c r="AJ34" t="s">
        <v>68</v>
      </c>
      <c r="AK34" t="s">
        <v>82</v>
      </c>
      <c r="AL34" t="s">
        <v>70</v>
      </c>
      <c r="AM34">
        <v>3</v>
      </c>
      <c r="AN34">
        <v>2026</v>
      </c>
      <c r="AO34" t="s">
        <v>71</v>
      </c>
      <c r="AP34">
        <v>11</v>
      </c>
      <c r="AQ34" t="s">
        <v>71</v>
      </c>
    </row>
    <row r="35" spans="1:43" x14ac:dyDescent="0.25">
      <c r="A35">
        <v>34</v>
      </c>
      <c r="B35" t="s">
        <v>83</v>
      </c>
      <c r="C35" t="s">
        <v>315</v>
      </c>
      <c r="D35" t="s">
        <v>316</v>
      </c>
      <c r="E35" t="s">
        <v>317</v>
      </c>
      <c r="F35" t="s">
        <v>47</v>
      </c>
      <c r="I35" t="s">
        <v>87</v>
      </c>
      <c r="K35" s="2">
        <v>46206.535401851797</v>
      </c>
      <c r="L35" s="2">
        <v>46214.333341782403</v>
      </c>
      <c r="M35" t="s">
        <v>76</v>
      </c>
      <c r="N35" t="s">
        <v>77</v>
      </c>
      <c r="O35" t="s">
        <v>54</v>
      </c>
      <c r="P35" t="s">
        <v>146</v>
      </c>
      <c r="Q35" t="s">
        <v>79</v>
      </c>
      <c r="S35" t="s">
        <v>68</v>
      </c>
      <c r="V35" t="s">
        <v>59</v>
      </c>
      <c r="W35" t="s">
        <v>90</v>
      </c>
      <c r="X35" t="s">
        <v>61</v>
      </c>
      <c r="Y35" t="s">
        <v>47</v>
      </c>
      <c r="AA35" t="s">
        <v>318</v>
      </c>
      <c r="AF35" t="s">
        <v>92</v>
      </c>
      <c r="AI35" t="s">
        <v>168</v>
      </c>
      <c r="AJ35" t="s">
        <v>68</v>
      </c>
      <c r="AK35" t="s">
        <v>82</v>
      </c>
      <c r="AL35" t="s">
        <v>70</v>
      </c>
      <c r="AM35">
        <v>3</v>
      </c>
      <c r="AN35">
        <v>2026</v>
      </c>
      <c r="AO35" t="s">
        <v>71</v>
      </c>
      <c r="AP35">
        <v>11</v>
      </c>
      <c r="AQ35" t="s">
        <v>71</v>
      </c>
    </row>
    <row r="36" spans="1:43" x14ac:dyDescent="0.25">
      <c r="A36">
        <v>35</v>
      </c>
      <c r="B36" t="s">
        <v>83</v>
      </c>
      <c r="C36" t="s">
        <v>319</v>
      </c>
      <c r="D36" t="s">
        <v>320</v>
      </c>
      <c r="E36" t="s">
        <v>321</v>
      </c>
      <c r="F36" t="s">
        <v>47</v>
      </c>
      <c r="I36" t="s">
        <v>193</v>
      </c>
      <c r="K36" s="2">
        <v>46206.587660451398</v>
      </c>
      <c r="L36" s="2">
        <v>46215.333346909698</v>
      </c>
      <c r="M36" t="s">
        <v>76</v>
      </c>
      <c r="N36" t="s">
        <v>77</v>
      </c>
      <c r="O36" t="s">
        <v>54</v>
      </c>
      <c r="P36" t="s">
        <v>174</v>
      </c>
      <c r="Q36" t="s">
        <v>89</v>
      </c>
      <c r="S36" t="s">
        <v>68</v>
      </c>
      <c r="V36" t="s">
        <v>59</v>
      </c>
      <c r="W36" t="s">
        <v>90</v>
      </c>
      <c r="X36" t="s">
        <v>61</v>
      </c>
      <c r="Y36" t="s">
        <v>47</v>
      </c>
      <c r="AA36" t="s">
        <v>322</v>
      </c>
      <c r="AF36" t="s">
        <v>195</v>
      </c>
      <c r="AI36" t="s">
        <v>323</v>
      </c>
      <c r="AJ36" t="s">
        <v>68</v>
      </c>
      <c r="AK36" t="s">
        <v>82</v>
      </c>
      <c r="AL36" t="s">
        <v>70</v>
      </c>
      <c r="AM36">
        <v>3</v>
      </c>
      <c r="AN36">
        <v>2026</v>
      </c>
      <c r="AO36" t="s">
        <v>71</v>
      </c>
      <c r="AP36">
        <v>12</v>
      </c>
      <c r="AQ36" t="s">
        <v>71</v>
      </c>
    </row>
    <row r="37" spans="1:43" x14ac:dyDescent="0.25">
      <c r="A37">
        <v>36</v>
      </c>
      <c r="B37" t="s">
        <v>83</v>
      </c>
      <c r="C37" t="s">
        <v>324</v>
      </c>
      <c r="D37" t="s">
        <v>325</v>
      </c>
      <c r="E37" t="s">
        <v>326</v>
      </c>
      <c r="F37" t="s">
        <v>47</v>
      </c>
      <c r="I37" t="s">
        <v>193</v>
      </c>
      <c r="K37" s="2">
        <v>46206.600647303203</v>
      </c>
      <c r="L37" s="2">
        <v>46214.333341782403</v>
      </c>
      <c r="M37" t="s">
        <v>76</v>
      </c>
      <c r="N37" t="s">
        <v>77</v>
      </c>
      <c r="O37" t="s">
        <v>54</v>
      </c>
      <c r="P37" t="s">
        <v>88</v>
      </c>
      <c r="Q37" t="s">
        <v>218</v>
      </c>
      <c r="S37" t="s">
        <v>68</v>
      </c>
      <c r="V37" t="s">
        <v>59</v>
      </c>
      <c r="W37" t="s">
        <v>90</v>
      </c>
      <c r="X37" t="s">
        <v>61</v>
      </c>
      <c r="Y37" t="s">
        <v>47</v>
      </c>
      <c r="AA37" t="s">
        <v>327</v>
      </c>
      <c r="AF37" t="s">
        <v>195</v>
      </c>
      <c r="AI37" t="s">
        <v>328</v>
      </c>
      <c r="AJ37" t="s">
        <v>68</v>
      </c>
      <c r="AK37" t="s">
        <v>82</v>
      </c>
      <c r="AL37" t="s">
        <v>70</v>
      </c>
      <c r="AM37">
        <v>3</v>
      </c>
      <c r="AN37">
        <v>2026</v>
      </c>
      <c r="AO37" t="s">
        <v>71</v>
      </c>
      <c r="AP37">
        <v>11</v>
      </c>
      <c r="AQ37" t="s">
        <v>71</v>
      </c>
    </row>
    <row r="38" spans="1:43" x14ac:dyDescent="0.25">
      <c r="A38">
        <v>37</v>
      </c>
      <c r="B38" t="s">
        <v>99</v>
      </c>
      <c r="C38" t="s">
        <v>329</v>
      </c>
      <c r="D38" t="s">
        <v>330</v>
      </c>
      <c r="E38" t="s">
        <v>331</v>
      </c>
      <c r="F38" t="s">
        <v>47</v>
      </c>
      <c r="I38" t="s">
        <v>332</v>
      </c>
      <c r="K38" s="2">
        <v>46206.489576076397</v>
      </c>
      <c r="L38" s="2">
        <v>46206.507015080999</v>
      </c>
      <c r="M38" t="s">
        <v>76</v>
      </c>
      <c r="N38" t="s">
        <v>77</v>
      </c>
      <c r="O38" t="s">
        <v>54</v>
      </c>
      <c r="P38" t="s">
        <v>78</v>
      </c>
      <c r="Q38" t="s">
        <v>56</v>
      </c>
      <c r="R38" t="s">
        <v>57</v>
      </c>
      <c r="S38" t="s">
        <v>68</v>
      </c>
      <c r="V38" t="s">
        <v>59</v>
      </c>
      <c r="W38" t="s">
        <v>90</v>
      </c>
      <c r="X38" t="s">
        <v>61</v>
      </c>
      <c r="Y38" t="s">
        <v>47</v>
      </c>
      <c r="AA38" t="s">
        <v>333</v>
      </c>
      <c r="AF38" t="s">
        <v>334</v>
      </c>
      <c r="AI38" t="s">
        <v>335</v>
      </c>
      <c r="AJ38" t="s">
        <v>68</v>
      </c>
      <c r="AK38" t="s">
        <v>82</v>
      </c>
      <c r="AL38" t="s">
        <v>70</v>
      </c>
      <c r="AM38">
        <v>3</v>
      </c>
      <c r="AN38">
        <v>2026</v>
      </c>
      <c r="AO38" t="s">
        <v>71</v>
      </c>
      <c r="AP38">
        <v>3</v>
      </c>
      <c r="AQ38" t="s">
        <v>71</v>
      </c>
    </row>
    <row r="39" spans="1:43" x14ac:dyDescent="0.25">
      <c r="A39">
        <v>38</v>
      </c>
      <c r="B39" t="s">
        <v>106</v>
      </c>
      <c r="C39" t="s">
        <v>336</v>
      </c>
      <c r="D39" t="s">
        <v>337</v>
      </c>
      <c r="E39" t="s">
        <v>338</v>
      </c>
      <c r="F39" t="s">
        <v>47</v>
      </c>
      <c r="I39" t="s">
        <v>112</v>
      </c>
      <c r="K39" s="2">
        <v>46206.538433599497</v>
      </c>
      <c r="L39" s="2">
        <v>46214.333341782403</v>
      </c>
      <c r="M39" t="s">
        <v>76</v>
      </c>
      <c r="N39" t="s">
        <v>77</v>
      </c>
      <c r="O39" t="s">
        <v>54</v>
      </c>
      <c r="P39" t="s">
        <v>55</v>
      </c>
      <c r="Q39" t="s">
        <v>56</v>
      </c>
      <c r="S39" t="s">
        <v>68</v>
      </c>
      <c r="V39" t="s">
        <v>59</v>
      </c>
      <c r="W39" t="s">
        <v>60</v>
      </c>
      <c r="X39" t="s">
        <v>61</v>
      </c>
      <c r="Y39" t="s">
        <v>47</v>
      </c>
      <c r="AA39" t="s">
        <v>339</v>
      </c>
      <c r="AF39" t="s">
        <v>117</v>
      </c>
      <c r="AI39" t="s">
        <v>207</v>
      </c>
      <c r="AJ39" t="s">
        <v>68</v>
      </c>
      <c r="AK39" t="s">
        <v>82</v>
      </c>
      <c r="AL39" t="s">
        <v>70</v>
      </c>
      <c r="AM39">
        <v>3</v>
      </c>
      <c r="AN39">
        <v>2026</v>
      </c>
      <c r="AO39" t="s">
        <v>71</v>
      </c>
      <c r="AP39">
        <v>11</v>
      </c>
      <c r="AQ39" t="s">
        <v>71</v>
      </c>
    </row>
    <row r="40" spans="1:43" x14ac:dyDescent="0.25">
      <c r="A40">
        <v>39</v>
      </c>
      <c r="B40" t="s">
        <v>106</v>
      </c>
      <c r="C40" t="s">
        <v>340</v>
      </c>
      <c r="D40" t="s">
        <v>341</v>
      </c>
      <c r="E40" t="s">
        <v>342</v>
      </c>
      <c r="F40" t="s">
        <v>47</v>
      </c>
      <c r="I40" t="s">
        <v>112</v>
      </c>
      <c r="K40" s="2">
        <v>46206.626878703697</v>
      </c>
      <c r="L40" s="2">
        <v>46215.333346909698</v>
      </c>
      <c r="M40" t="s">
        <v>76</v>
      </c>
      <c r="N40" t="s">
        <v>77</v>
      </c>
      <c r="O40" t="s">
        <v>54</v>
      </c>
      <c r="P40" t="s">
        <v>174</v>
      </c>
      <c r="Q40" t="s">
        <v>161</v>
      </c>
      <c r="S40" t="s">
        <v>68</v>
      </c>
      <c r="V40" t="s">
        <v>59</v>
      </c>
      <c r="W40" t="s">
        <v>60</v>
      </c>
      <c r="X40" t="s">
        <v>61</v>
      </c>
      <c r="Y40" t="s">
        <v>47</v>
      </c>
      <c r="AA40" t="s">
        <v>343</v>
      </c>
      <c r="AF40" t="s">
        <v>117</v>
      </c>
      <c r="AI40" t="s">
        <v>344</v>
      </c>
      <c r="AJ40" t="s">
        <v>68</v>
      </c>
      <c r="AK40" t="s">
        <v>82</v>
      </c>
      <c r="AL40" t="s">
        <v>70</v>
      </c>
      <c r="AM40">
        <v>3</v>
      </c>
      <c r="AN40">
        <v>2026</v>
      </c>
      <c r="AO40" t="s">
        <v>71</v>
      </c>
      <c r="AP40">
        <v>12</v>
      </c>
      <c r="AQ40" t="s">
        <v>71</v>
      </c>
    </row>
    <row r="41" spans="1:43" x14ac:dyDescent="0.25">
      <c r="A41">
        <v>40</v>
      </c>
      <c r="B41" t="s">
        <v>345</v>
      </c>
      <c r="C41" t="s">
        <v>346</v>
      </c>
      <c r="D41" t="s">
        <v>347</v>
      </c>
      <c r="E41" t="s">
        <v>348</v>
      </c>
      <c r="F41" t="s">
        <v>47</v>
      </c>
      <c r="G41" t="s">
        <v>349</v>
      </c>
      <c r="H41" t="s">
        <v>350</v>
      </c>
      <c r="I41" t="s">
        <v>351</v>
      </c>
      <c r="J41" t="s">
        <v>51</v>
      </c>
      <c r="K41" s="2">
        <v>46206.5309178241</v>
      </c>
      <c r="L41" s="2">
        <v>46208.943037696801</v>
      </c>
      <c r="M41" t="s">
        <v>52</v>
      </c>
      <c r="N41" t="s">
        <v>53</v>
      </c>
      <c r="O41" t="s">
        <v>54</v>
      </c>
      <c r="P41" t="s">
        <v>55</v>
      </c>
      <c r="Q41" t="s">
        <v>126</v>
      </c>
      <c r="R41" t="s">
        <v>57</v>
      </c>
      <c r="S41" t="s">
        <v>58</v>
      </c>
      <c r="V41" t="s">
        <v>59</v>
      </c>
      <c r="W41" t="s">
        <v>90</v>
      </c>
      <c r="X41" t="s">
        <v>61</v>
      </c>
      <c r="Y41" t="s">
        <v>47</v>
      </c>
      <c r="Z41" t="s">
        <v>186</v>
      </c>
      <c r="AA41" t="s">
        <v>352</v>
      </c>
      <c r="AB41">
        <v>60919000</v>
      </c>
      <c r="AC41" t="s">
        <v>58</v>
      </c>
      <c r="AD41" s="2">
        <v>46207</v>
      </c>
      <c r="AE41" t="s">
        <v>353</v>
      </c>
      <c r="AF41" t="s">
        <v>65</v>
      </c>
      <c r="AG41" t="s">
        <v>66</v>
      </c>
      <c r="AI41" t="s">
        <v>354</v>
      </c>
      <c r="AJ41" t="s">
        <v>68</v>
      </c>
      <c r="AK41" t="s">
        <v>69</v>
      </c>
      <c r="AL41" t="s">
        <v>70</v>
      </c>
      <c r="AM41">
        <v>3</v>
      </c>
      <c r="AN41">
        <v>2026</v>
      </c>
      <c r="AO41" t="s">
        <v>71</v>
      </c>
      <c r="AP41">
        <v>5</v>
      </c>
      <c r="AQ41" t="s">
        <v>71</v>
      </c>
    </row>
    <row r="42" spans="1:43" x14ac:dyDescent="0.25">
      <c r="A42">
        <v>41</v>
      </c>
      <c r="B42" t="s">
        <v>229</v>
      </c>
      <c r="C42" t="s">
        <v>355</v>
      </c>
      <c r="D42" t="s">
        <v>356</v>
      </c>
      <c r="E42" t="s">
        <v>357</v>
      </c>
      <c r="F42" t="s">
        <v>47</v>
      </c>
      <c r="I42" t="s">
        <v>233</v>
      </c>
      <c r="K42" s="2">
        <v>46206.631762696801</v>
      </c>
      <c r="L42" s="2">
        <v>46215.333346909698</v>
      </c>
      <c r="M42" t="s">
        <v>76</v>
      </c>
      <c r="N42" t="s">
        <v>77</v>
      </c>
      <c r="O42" t="s">
        <v>54</v>
      </c>
      <c r="P42" t="s">
        <v>88</v>
      </c>
      <c r="Q42" t="s">
        <v>161</v>
      </c>
      <c r="S42" t="s">
        <v>68</v>
      </c>
      <c r="V42" t="s">
        <v>59</v>
      </c>
      <c r="W42" t="s">
        <v>90</v>
      </c>
      <c r="X42" t="s">
        <v>61</v>
      </c>
      <c r="Y42" t="s">
        <v>47</v>
      </c>
      <c r="AA42" t="s">
        <v>358</v>
      </c>
      <c r="AF42" t="s">
        <v>245</v>
      </c>
      <c r="AI42" t="s">
        <v>359</v>
      </c>
      <c r="AJ42" t="s">
        <v>68</v>
      </c>
      <c r="AK42" t="s">
        <v>82</v>
      </c>
      <c r="AL42" t="s">
        <v>70</v>
      </c>
      <c r="AM42">
        <v>3</v>
      </c>
      <c r="AN42">
        <v>2026</v>
      </c>
      <c r="AO42" t="s">
        <v>71</v>
      </c>
      <c r="AP42">
        <v>12</v>
      </c>
      <c r="AQ42" t="s">
        <v>71</v>
      </c>
    </row>
    <row r="43" spans="1:43" x14ac:dyDescent="0.25">
      <c r="A43">
        <v>42</v>
      </c>
      <c r="B43" t="s">
        <v>229</v>
      </c>
      <c r="C43" t="s">
        <v>360</v>
      </c>
      <c r="D43" t="s">
        <v>361</v>
      </c>
      <c r="E43" t="s">
        <v>362</v>
      </c>
      <c r="F43" t="s">
        <v>47</v>
      </c>
      <c r="H43" t="s">
        <v>363</v>
      </c>
      <c r="I43" t="s">
        <v>233</v>
      </c>
      <c r="J43" t="s">
        <v>295</v>
      </c>
      <c r="K43" s="2">
        <v>46206.725190705998</v>
      </c>
      <c r="L43" s="2">
        <v>46210.715543136597</v>
      </c>
      <c r="M43" t="s">
        <v>241</v>
      </c>
      <c r="N43" t="s">
        <v>242</v>
      </c>
      <c r="O43" t="s">
        <v>54</v>
      </c>
      <c r="P43" t="s">
        <v>55</v>
      </c>
      <c r="Q43" t="s">
        <v>113</v>
      </c>
      <c r="R43" t="s">
        <v>243</v>
      </c>
      <c r="S43" t="s">
        <v>58</v>
      </c>
      <c r="V43" t="s">
        <v>59</v>
      </c>
      <c r="W43" t="s">
        <v>90</v>
      </c>
      <c r="X43" t="s">
        <v>61</v>
      </c>
      <c r="Y43" t="s">
        <v>47</v>
      </c>
      <c r="Z43" t="s">
        <v>176</v>
      </c>
      <c r="AA43" t="s">
        <v>364</v>
      </c>
      <c r="AC43" t="s">
        <v>58</v>
      </c>
      <c r="AD43" s="2">
        <v>46210</v>
      </c>
      <c r="AE43" t="s">
        <v>245</v>
      </c>
      <c r="AF43" t="s">
        <v>245</v>
      </c>
      <c r="AG43" t="s">
        <v>365</v>
      </c>
      <c r="AI43" t="s">
        <v>366</v>
      </c>
      <c r="AJ43" t="s">
        <v>68</v>
      </c>
      <c r="AK43" t="s">
        <v>248</v>
      </c>
      <c r="AL43" t="s">
        <v>70</v>
      </c>
      <c r="AM43">
        <v>3</v>
      </c>
      <c r="AN43">
        <v>2026</v>
      </c>
      <c r="AO43" t="s">
        <v>71</v>
      </c>
      <c r="AP43">
        <v>7</v>
      </c>
      <c r="AQ43" t="s">
        <v>71</v>
      </c>
    </row>
    <row r="44" spans="1:43" x14ac:dyDescent="0.25">
      <c r="A44">
        <v>43</v>
      </c>
      <c r="B44" t="s">
        <v>249</v>
      </c>
      <c r="C44" t="s">
        <v>367</v>
      </c>
      <c r="D44" t="s">
        <v>368</v>
      </c>
      <c r="E44" t="s">
        <v>369</v>
      </c>
      <c r="F44" t="s">
        <v>274</v>
      </c>
      <c r="G44" t="s">
        <v>370</v>
      </c>
      <c r="H44" t="s">
        <v>371</v>
      </c>
      <c r="I44" t="s">
        <v>254</v>
      </c>
      <c r="J44" t="s">
        <v>51</v>
      </c>
      <c r="K44" s="2">
        <v>46206.469744016198</v>
      </c>
      <c r="L44" s="2">
        <v>46207.7738944792</v>
      </c>
      <c r="M44" t="s">
        <v>52</v>
      </c>
      <c r="N44" t="s">
        <v>53</v>
      </c>
      <c r="O44" t="s">
        <v>54</v>
      </c>
      <c r="P44" t="s">
        <v>55</v>
      </c>
      <c r="Q44" t="s">
        <v>147</v>
      </c>
      <c r="R44" t="s">
        <v>243</v>
      </c>
      <c r="S44" t="s">
        <v>58</v>
      </c>
      <c r="V44" t="s">
        <v>59</v>
      </c>
      <c r="W44" t="s">
        <v>90</v>
      </c>
      <c r="X44" t="s">
        <v>61</v>
      </c>
      <c r="Y44" t="s">
        <v>274</v>
      </c>
      <c r="Z44" t="s">
        <v>372</v>
      </c>
      <c r="AA44" t="s">
        <v>373</v>
      </c>
      <c r="AB44">
        <v>166122000</v>
      </c>
      <c r="AC44" t="s">
        <v>58</v>
      </c>
      <c r="AD44" s="2">
        <v>46207</v>
      </c>
      <c r="AE44" t="s">
        <v>374</v>
      </c>
      <c r="AF44" t="s">
        <v>92</v>
      </c>
      <c r="AG44" t="s">
        <v>66</v>
      </c>
      <c r="AK44" t="s">
        <v>69</v>
      </c>
      <c r="AL44" t="s">
        <v>277</v>
      </c>
      <c r="AM44">
        <v>3</v>
      </c>
      <c r="AN44">
        <v>2026</v>
      </c>
      <c r="AO44" t="s">
        <v>71</v>
      </c>
      <c r="AP44">
        <v>4</v>
      </c>
      <c r="AQ44" t="s">
        <v>71</v>
      </c>
    </row>
    <row r="45" spans="1:43" x14ac:dyDescent="0.25">
      <c r="A45">
        <v>44</v>
      </c>
      <c r="B45" t="s">
        <v>249</v>
      </c>
      <c r="C45" t="s">
        <v>375</v>
      </c>
      <c r="D45" t="s">
        <v>376</v>
      </c>
      <c r="E45" t="s">
        <v>377</v>
      </c>
      <c r="F45" t="s">
        <v>47</v>
      </c>
      <c r="I45" t="s">
        <v>254</v>
      </c>
      <c r="K45" s="2">
        <v>46206.584885648102</v>
      </c>
      <c r="L45" s="2">
        <v>46215.333346909698</v>
      </c>
      <c r="M45" t="s">
        <v>76</v>
      </c>
      <c r="N45" t="s">
        <v>77</v>
      </c>
      <c r="O45" t="s">
        <v>54</v>
      </c>
      <c r="P45" t="s">
        <v>55</v>
      </c>
      <c r="Q45" t="s">
        <v>161</v>
      </c>
      <c r="S45" t="s">
        <v>68</v>
      </c>
      <c r="V45" t="s">
        <v>59</v>
      </c>
      <c r="W45" t="s">
        <v>90</v>
      </c>
      <c r="X45" t="s">
        <v>61</v>
      </c>
      <c r="Y45" t="s">
        <v>47</v>
      </c>
      <c r="AA45" t="s">
        <v>378</v>
      </c>
      <c r="AF45" t="s">
        <v>92</v>
      </c>
      <c r="AI45" t="s">
        <v>262</v>
      </c>
      <c r="AJ45" t="s">
        <v>68</v>
      </c>
      <c r="AK45" t="s">
        <v>82</v>
      </c>
      <c r="AL45" t="s">
        <v>70</v>
      </c>
      <c r="AM45">
        <v>3</v>
      </c>
      <c r="AN45">
        <v>2026</v>
      </c>
      <c r="AO45" t="s">
        <v>71</v>
      </c>
      <c r="AP45">
        <v>12</v>
      </c>
      <c r="AQ45" t="s">
        <v>71</v>
      </c>
    </row>
    <row r="46" spans="1:43" x14ac:dyDescent="0.25">
      <c r="A46">
        <v>45</v>
      </c>
      <c r="B46" t="s">
        <v>379</v>
      </c>
      <c r="C46" t="s">
        <v>380</v>
      </c>
      <c r="D46" t="s">
        <v>381</v>
      </c>
      <c r="E46" t="s">
        <v>382</v>
      </c>
      <c r="F46" t="s">
        <v>47</v>
      </c>
      <c r="G46" t="s">
        <v>383</v>
      </c>
      <c r="H46" t="s">
        <v>384</v>
      </c>
      <c r="I46" t="s">
        <v>385</v>
      </c>
      <c r="J46" t="s">
        <v>51</v>
      </c>
      <c r="K46" s="2">
        <v>46206.627931979201</v>
      </c>
      <c r="L46" s="2">
        <v>46219.470652349497</v>
      </c>
      <c r="M46" t="s">
        <v>52</v>
      </c>
      <c r="N46" t="s">
        <v>53</v>
      </c>
      <c r="O46" t="s">
        <v>54</v>
      </c>
      <c r="P46" t="s">
        <v>88</v>
      </c>
      <c r="Q46" t="s">
        <v>175</v>
      </c>
      <c r="R46" t="s">
        <v>386</v>
      </c>
      <c r="S46" t="s">
        <v>58</v>
      </c>
      <c r="T46" t="s">
        <v>385</v>
      </c>
      <c r="U46" t="s">
        <v>68</v>
      </c>
      <c r="V46" t="s">
        <v>387</v>
      </c>
      <c r="W46" t="s">
        <v>90</v>
      </c>
      <c r="X46" t="s">
        <v>61</v>
      </c>
      <c r="Y46" t="s">
        <v>47</v>
      </c>
      <c r="Z46" t="s">
        <v>255</v>
      </c>
      <c r="AA46" t="s">
        <v>388</v>
      </c>
      <c r="AB46">
        <v>51174000</v>
      </c>
      <c r="AC46" t="s">
        <v>58</v>
      </c>
      <c r="AD46" s="2">
        <v>46217</v>
      </c>
      <c r="AE46" t="s">
        <v>389</v>
      </c>
      <c r="AF46" t="s">
        <v>390</v>
      </c>
      <c r="AG46" t="s">
        <v>66</v>
      </c>
      <c r="AI46" t="s">
        <v>391</v>
      </c>
      <c r="AJ46" t="s">
        <v>68</v>
      </c>
      <c r="AK46" t="s">
        <v>69</v>
      </c>
      <c r="AL46" t="s">
        <v>70</v>
      </c>
      <c r="AM46">
        <v>3</v>
      </c>
      <c r="AN46">
        <v>2026</v>
      </c>
      <c r="AO46" t="s">
        <v>71</v>
      </c>
      <c r="AP46">
        <v>16</v>
      </c>
      <c r="AQ46" t="s">
        <v>71</v>
      </c>
    </row>
    <row r="47" spans="1:43" x14ac:dyDescent="0.25">
      <c r="A47">
        <v>46</v>
      </c>
      <c r="B47" t="s">
        <v>263</v>
      </c>
      <c r="C47" t="s">
        <v>392</v>
      </c>
      <c r="D47" t="s">
        <v>393</v>
      </c>
      <c r="E47" t="s">
        <v>394</v>
      </c>
      <c r="F47" t="s">
        <v>47</v>
      </c>
      <c r="G47" t="s">
        <v>395</v>
      </c>
      <c r="H47" t="s">
        <v>396</v>
      </c>
      <c r="I47" t="s">
        <v>267</v>
      </c>
      <c r="J47" t="s">
        <v>51</v>
      </c>
      <c r="K47" s="2">
        <v>46206.909279826403</v>
      </c>
      <c r="L47" s="2">
        <v>46217.664339270799</v>
      </c>
      <c r="M47" t="s">
        <v>52</v>
      </c>
      <c r="N47" t="s">
        <v>53</v>
      </c>
      <c r="O47" t="s">
        <v>54</v>
      </c>
      <c r="P47" t="s">
        <v>160</v>
      </c>
      <c r="Q47" t="s">
        <v>161</v>
      </c>
      <c r="R47" t="s">
        <v>57</v>
      </c>
      <c r="S47" t="s">
        <v>58</v>
      </c>
      <c r="V47" t="s">
        <v>59</v>
      </c>
      <c r="W47" t="s">
        <v>90</v>
      </c>
      <c r="X47" t="s">
        <v>61</v>
      </c>
      <c r="Y47" t="s">
        <v>47</v>
      </c>
      <c r="Z47" t="s">
        <v>255</v>
      </c>
      <c r="AA47" t="s">
        <v>397</v>
      </c>
      <c r="AB47">
        <v>328800140</v>
      </c>
      <c r="AC47" t="s">
        <v>58</v>
      </c>
      <c r="AD47" s="2">
        <v>46216</v>
      </c>
      <c r="AE47" t="s">
        <v>398</v>
      </c>
      <c r="AF47" t="s">
        <v>92</v>
      </c>
      <c r="AG47" t="s">
        <v>66</v>
      </c>
      <c r="AI47" t="s">
        <v>399</v>
      </c>
      <c r="AJ47" t="s">
        <v>68</v>
      </c>
      <c r="AK47" t="s">
        <v>69</v>
      </c>
      <c r="AL47" t="s">
        <v>70</v>
      </c>
      <c r="AM47">
        <v>3</v>
      </c>
      <c r="AN47">
        <v>2026</v>
      </c>
      <c r="AO47" t="s">
        <v>71</v>
      </c>
      <c r="AP47">
        <v>14</v>
      </c>
      <c r="AQ47" t="s">
        <v>71</v>
      </c>
    </row>
    <row r="48" spans="1:43" x14ac:dyDescent="0.25">
      <c r="A48">
        <v>47</v>
      </c>
      <c r="B48" t="s">
        <v>400</v>
      </c>
      <c r="C48" t="s">
        <v>401</v>
      </c>
      <c r="D48" t="s">
        <v>402</v>
      </c>
      <c r="E48" t="s">
        <v>403</v>
      </c>
      <c r="F48" t="s">
        <v>47</v>
      </c>
      <c r="I48" t="s">
        <v>404</v>
      </c>
      <c r="K48" s="2">
        <v>46206.323864432903</v>
      </c>
      <c r="L48" s="2">
        <v>46214.333341782403</v>
      </c>
      <c r="M48" t="s">
        <v>76</v>
      </c>
      <c r="N48" t="s">
        <v>77</v>
      </c>
      <c r="O48" t="s">
        <v>54</v>
      </c>
      <c r="P48" t="s">
        <v>174</v>
      </c>
      <c r="Q48" t="s">
        <v>405</v>
      </c>
      <c r="S48" t="s">
        <v>68</v>
      </c>
      <c r="V48" t="s">
        <v>59</v>
      </c>
      <c r="W48" t="s">
        <v>90</v>
      </c>
      <c r="X48" t="s">
        <v>61</v>
      </c>
      <c r="Y48" t="s">
        <v>47</v>
      </c>
      <c r="AA48" t="s">
        <v>406</v>
      </c>
      <c r="AF48" t="s">
        <v>407</v>
      </c>
      <c r="AI48" t="s">
        <v>408</v>
      </c>
      <c r="AJ48" t="s">
        <v>68</v>
      </c>
      <c r="AK48" t="s">
        <v>82</v>
      </c>
      <c r="AL48" t="s">
        <v>70</v>
      </c>
      <c r="AM48">
        <v>3</v>
      </c>
      <c r="AN48">
        <v>2026</v>
      </c>
      <c r="AO48" t="s">
        <v>71</v>
      </c>
      <c r="AP48">
        <v>11</v>
      </c>
      <c r="AQ48" t="s">
        <v>71</v>
      </c>
    </row>
    <row r="49" spans="1:43" x14ac:dyDescent="0.25">
      <c r="A49">
        <v>48</v>
      </c>
      <c r="B49" t="s">
        <v>400</v>
      </c>
      <c r="C49" t="s">
        <v>401</v>
      </c>
      <c r="D49" t="s">
        <v>409</v>
      </c>
      <c r="E49" t="s">
        <v>410</v>
      </c>
      <c r="F49" t="s">
        <v>47</v>
      </c>
      <c r="G49" t="s">
        <v>411</v>
      </c>
      <c r="H49" t="s">
        <v>412</v>
      </c>
      <c r="I49" t="s">
        <v>404</v>
      </c>
      <c r="J49" t="s">
        <v>51</v>
      </c>
      <c r="K49" s="2">
        <v>46206.730035381901</v>
      </c>
      <c r="L49" s="2">
        <v>46212.491473958296</v>
      </c>
      <c r="M49" t="s">
        <v>52</v>
      </c>
      <c r="N49" t="s">
        <v>53</v>
      </c>
      <c r="O49" t="s">
        <v>54</v>
      </c>
      <c r="P49" t="s">
        <v>174</v>
      </c>
      <c r="Q49" t="s">
        <v>218</v>
      </c>
      <c r="R49" t="s">
        <v>413</v>
      </c>
      <c r="S49" t="s">
        <v>58</v>
      </c>
      <c r="V49" t="s">
        <v>59</v>
      </c>
      <c r="W49" t="s">
        <v>90</v>
      </c>
      <c r="X49" t="s">
        <v>61</v>
      </c>
      <c r="Y49" t="s">
        <v>47</v>
      </c>
      <c r="Z49" t="s">
        <v>186</v>
      </c>
      <c r="AA49" t="s">
        <v>406</v>
      </c>
      <c r="AB49">
        <v>167258388</v>
      </c>
      <c r="AC49" t="s">
        <v>58</v>
      </c>
      <c r="AD49" s="2">
        <v>46209</v>
      </c>
      <c r="AE49" t="s">
        <v>414</v>
      </c>
      <c r="AF49" t="s">
        <v>415</v>
      </c>
      <c r="AG49" t="s">
        <v>66</v>
      </c>
      <c r="AI49" t="s">
        <v>416</v>
      </c>
      <c r="AJ49" t="s">
        <v>68</v>
      </c>
      <c r="AK49" t="s">
        <v>69</v>
      </c>
      <c r="AL49" t="s">
        <v>70</v>
      </c>
      <c r="AM49">
        <v>3</v>
      </c>
      <c r="AN49">
        <v>2026</v>
      </c>
      <c r="AO49" t="s">
        <v>71</v>
      </c>
      <c r="AP49">
        <v>9</v>
      </c>
      <c r="AQ49" t="s">
        <v>71</v>
      </c>
    </row>
    <row r="50" spans="1:43" x14ac:dyDescent="0.25">
      <c r="A50">
        <v>49</v>
      </c>
      <c r="B50" t="s">
        <v>83</v>
      </c>
      <c r="C50" t="s">
        <v>417</v>
      </c>
      <c r="D50" t="s">
        <v>418</v>
      </c>
      <c r="E50" t="s">
        <v>419</v>
      </c>
      <c r="F50" t="s">
        <v>47</v>
      </c>
      <c r="I50" t="s">
        <v>87</v>
      </c>
      <c r="K50" s="2">
        <v>46207.484438506901</v>
      </c>
      <c r="L50" s="2">
        <v>46215.333346909698</v>
      </c>
      <c r="M50" t="s">
        <v>76</v>
      </c>
      <c r="N50" t="s">
        <v>77</v>
      </c>
      <c r="O50" t="s">
        <v>54</v>
      </c>
      <c r="P50" t="s">
        <v>55</v>
      </c>
      <c r="Q50" t="s">
        <v>175</v>
      </c>
      <c r="S50" t="s">
        <v>68</v>
      </c>
      <c r="V50" t="s">
        <v>59</v>
      </c>
      <c r="W50" t="s">
        <v>90</v>
      </c>
      <c r="X50" t="s">
        <v>61</v>
      </c>
      <c r="Y50" t="s">
        <v>47</v>
      </c>
      <c r="AA50" t="s">
        <v>420</v>
      </c>
      <c r="AF50" t="s">
        <v>421</v>
      </c>
      <c r="AI50" t="s">
        <v>168</v>
      </c>
      <c r="AJ50" t="s">
        <v>68</v>
      </c>
      <c r="AK50" t="s">
        <v>82</v>
      </c>
      <c r="AL50" t="s">
        <v>70</v>
      </c>
      <c r="AM50">
        <v>4</v>
      </c>
      <c r="AN50">
        <v>2026</v>
      </c>
      <c r="AO50" t="s">
        <v>71</v>
      </c>
      <c r="AP50">
        <v>12</v>
      </c>
      <c r="AQ50" t="s">
        <v>71</v>
      </c>
    </row>
    <row r="51" spans="1:43" x14ac:dyDescent="0.25">
      <c r="A51">
        <v>50</v>
      </c>
      <c r="B51" t="s">
        <v>83</v>
      </c>
      <c r="C51" t="s">
        <v>422</v>
      </c>
      <c r="D51" t="s">
        <v>423</v>
      </c>
      <c r="E51" t="s">
        <v>424</v>
      </c>
      <c r="F51" t="s">
        <v>47</v>
      </c>
      <c r="I51" t="s">
        <v>193</v>
      </c>
      <c r="K51" s="2">
        <v>46207.543365046302</v>
      </c>
      <c r="L51" s="2">
        <v>46215.333346909698</v>
      </c>
      <c r="M51" t="s">
        <v>76</v>
      </c>
      <c r="N51" t="s">
        <v>77</v>
      </c>
      <c r="O51" t="s">
        <v>54</v>
      </c>
      <c r="P51" t="s">
        <v>160</v>
      </c>
      <c r="Q51" t="s">
        <v>113</v>
      </c>
      <c r="S51" t="s">
        <v>68</v>
      </c>
      <c r="V51" t="s">
        <v>59</v>
      </c>
      <c r="W51" t="s">
        <v>90</v>
      </c>
      <c r="X51" t="s">
        <v>61</v>
      </c>
      <c r="Y51" t="s">
        <v>47</v>
      </c>
      <c r="AA51" t="s">
        <v>425</v>
      </c>
      <c r="AF51" t="s">
        <v>195</v>
      </c>
      <c r="AI51" t="s">
        <v>426</v>
      </c>
      <c r="AJ51" t="s">
        <v>68</v>
      </c>
      <c r="AK51" t="s">
        <v>82</v>
      </c>
      <c r="AL51" t="s">
        <v>70</v>
      </c>
      <c r="AM51">
        <v>4</v>
      </c>
      <c r="AN51">
        <v>2026</v>
      </c>
      <c r="AO51" t="s">
        <v>71</v>
      </c>
      <c r="AP51">
        <v>12</v>
      </c>
      <c r="AQ51" t="s">
        <v>71</v>
      </c>
    </row>
    <row r="52" spans="1:43" x14ac:dyDescent="0.25">
      <c r="A52">
        <v>51</v>
      </c>
      <c r="B52" t="s">
        <v>83</v>
      </c>
      <c r="C52" t="s">
        <v>427</v>
      </c>
      <c r="D52" t="s">
        <v>428</v>
      </c>
      <c r="E52" t="s">
        <v>429</v>
      </c>
      <c r="F52" t="s">
        <v>47</v>
      </c>
      <c r="I52" t="s">
        <v>193</v>
      </c>
      <c r="K52" s="2">
        <v>46207.547408680599</v>
      </c>
      <c r="L52" s="2">
        <v>46215.333346909698</v>
      </c>
      <c r="M52" t="s">
        <v>76</v>
      </c>
      <c r="N52" t="s">
        <v>77</v>
      </c>
      <c r="O52" t="s">
        <v>54</v>
      </c>
      <c r="P52" t="s">
        <v>160</v>
      </c>
      <c r="Q52" t="s">
        <v>56</v>
      </c>
      <c r="S52" t="s">
        <v>68</v>
      </c>
      <c r="V52" t="s">
        <v>59</v>
      </c>
      <c r="W52" t="s">
        <v>90</v>
      </c>
      <c r="X52" t="s">
        <v>61</v>
      </c>
      <c r="Y52" t="s">
        <v>47</v>
      </c>
      <c r="AA52" t="s">
        <v>430</v>
      </c>
      <c r="AF52" t="s">
        <v>195</v>
      </c>
      <c r="AI52" t="s">
        <v>431</v>
      </c>
      <c r="AJ52" t="s">
        <v>68</v>
      </c>
      <c r="AK52" t="s">
        <v>82</v>
      </c>
      <c r="AL52" t="s">
        <v>70</v>
      </c>
      <c r="AM52">
        <v>4</v>
      </c>
      <c r="AN52">
        <v>2026</v>
      </c>
      <c r="AO52" t="s">
        <v>71</v>
      </c>
      <c r="AP52">
        <v>12</v>
      </c>
      <c r="AQ52" t="s">
        <v>71</v>
      </c>
    </row>
    <row r="53" spans="1:43" x14ac:dyDescent="0.25">
      <c r="A53">
        <v>52</v>
      </c>
      <c r="B53" t="s">
        <v>345</v>
      </c>
      <c r="C53" t="s">
        <v>432</v>
      </c>
      <c r="D53" t="s">
        <v>433</v>
      </c>
      <c r="E53" t="s">
        <v>434</v>
      </c>
      <c r="F53" t="s">
        <v>47</v>
      </c>
      <c r="I53" t="s">
        <v>435</v>
      </c>
      <c r="K53" s="2">
        <v>46207.399809606497</v>
      </c>
      <c r="L53" s="2">
        <v>46215.333346909698</v>
      </c>
      <c r="M53" t="s">
        <v>76</v>
      </c>
      <c r="N53" t="s">
        <v>77</v>
      </c>
      <c r="O53" t="s">
        <v>54</v>
      </c>
      <c r="P53" t="s">
        <v>55</v>
      </c>
      <c r="Q53" t="s">
        <v>89</v>
      </c>
      <c r="S53" t="s">
        <v>68</v>
      </c>
      <c r="V53" t="s">
        <v>59</v>
      </c>
      <c r="W53" t="s">
        <v>90</v>
      </c>
      <c r="X53" t="s">
        <v>61</v>
      </c>
      <c r="Y53" t="s">
        <v>47</v>
      </c>
      <c r="AA53" t="s">
        <v>436</v>
      </c>
      <c r="AF53" t="s">
        <v>437</v>
      </c>
      <c r="AI53" t="s">
        <v>438</v>
      </c>
      <c r="AJ53" t="s">
        <v>68</v>
      </c>
      <c r="AK53" t="s">
        <v>82</v>
      </c>
      <c r="AL53" t="s">
        <v>70</v>
      </c>
      <c r="AM53">
        <v>4</v>
      </c>
      <c r="AN53">
        <v>2026</v>
      </c>
      <c r="AO53" t="s">
        <v>71</v>
      </c>
      <c r="AP53">
        <v>12</v>
      </c>
      <c r="AQ53" t="s">
        <v>71</v>
      </c>
    </row>
    <row r="54" spans="1:43" x14ac:dyDescent="0.25">
      <c r="A54">
        <v>53</v>
      </c>
      <c r="B54" t="s">
        <v>229</v>
      </c>
      <c r="C54" t="s">
        <v>439</v>
      </c>
      <c r="D54" t="s">
        <v>440</v>
      </c>
      <c r="E54" t="s">
        <v>441</v>
      </c>
      <c r="F54" t="s">
        <v>47</v>
      </c>
      <c r="I54" t="s">
        <v>233</v>
      </c>
      <c r="K54" s="2">
        <v>46207.473226423601</v>
      </c>
      <c r="L54" s="2">
        <v>46216.333349918998</v>
      </c>
      <c r="M54" t="s">
        <v>76</v>
      </c>
      <c r="N54" t="s">
        <v>77</v>
      </c>
      <c r="O54" t="s">
        <v>54</v>
      </c>
      <c r="P54" t="s">
        <v>160</v>
      </c>
      <c r="Q54" t="s">
        <v>113</v>
      </c>
      <c r="S54" t="s">
        <v>68</v>
      </c>
      <c r="V54" t="s">
        <v>59</v>
      </c>
      <c r="W54" t="s">
        <v>90</v>
      </c>
      <c r="X54" t="s">
        <v>61</v>
      </c>
      <c r="Y54" t="s">
        <v>47</v>
      </c>
      <c r="AA54" t="s">
        <v>442</v>
      </c>
      <c r="AF54" t="s">
        <v>245</v>
      </c>
      <c r="AI54" t="s">
        <v>443</v>
      </c>
      <c r="AJ54" t="s">
        <v>68</v>
      </c>
      <c r="AK54" t="s">
        <v>82</v>
      </c>
      <c r="AL54" t="s">
        <v>70</v>
      </c>
      <c r="AM54">
        <v>4</v>
      </c>
      <c r="AN54">
        <v>2026</v>
      </c>
      <c r="AO54" t="s">
        <v>71</v>
      </c>
      <c r="AP54">
        <v>13</v>
      </c>
      <c r="AQ54" t="s">
        <v>71</v>
      </c>
    </row>
    <row r="55" spans="1:43" x14ac:dyDescent="0.25">
      <c r="A55">
        <v>54</v>
      </c>
      <c r="B55" t="s">
        <v>141</v>
      </c>
      <c r="C55" t="s">
        <v>444</v>
      </c>
      <c r="D55" t="s">
        <v>445</v>
      </c>
      <c r="E55" t="s">
        <v>446</v>
      </c>
      <c r="F55" t="s">
        <v>47</v>
      </c>
      <c r="I55" t="s">
        <v>145</v>
      </c>
      <c r="K55" s="2">
        <v>46207.352933645801</v>
      </c>
      <c r="L55" s="2">
        <v>46215.333346909698</v>
      </c>
      <c r="M55" t="s">
        <v>76</v>
      </c>
      <c r="N55" t="s">
        <v>77</v>
      </c>
      <c r="O55" t="s">
        <v>54</v>
      </c>
      <c r="P55" t="s">
        <v>78</v>
      </c>
      <c r="Q55" t="s">
        <v>185</v>
      </c>
      <c r="S55" t="s">
        <v>68</v>
      </c>
      <c r="V55" t="s">
        <v>59</v>
      </c>
      <c r="W55" t="s">
        <v>90</v>
      </c>
      <c r="X55" t="s">
        <v>61</v>
      </c>
      <c r="Y55" t="s">
        <v>47</v>
      </c>
      <c r="AA55" t="s">
        <v>447</v>
      </c>
      <c r="AF55" t="s">
        <v>448</v>
      </c>
      <c r="AI55" t="s">
        <v>449</v>
      </c>
      <c r="AJ55" t="s">
        <v>68</v>
      </c>
      <c r="AK55" t="s">
        <v>82</v>
      </c>
      <c r="AL55" t="s">
        <v>70</v>
      </c>
      <c r="AM55">
        <v>4</v>
      </c>
      <c r="AN55">
        <v>2026</v>
      </c>
      <c r="AO55" t="s">
        <v>71</v>
      </c>
      <c r="AP55">
        <v>12</v>
      </c>
      <c r="AQ55" t="s">
        <v>71</v>
      </c>
    </row>
    <row r="56" spans="1:43" x14ac:dyDescent="0.25">
      <c r="A56">
        <v>55</v>
      </c>
      <c r="B56" t="s">
        <v>141</v>
      </c>
      <c r="C56" t="s">
        <v>450</v>
      </c>
      <c r="D56" t="s">
        <v>451</v>
      </c>
      <c r="E56" t="s">
        <v>452</v>
      </c>
      <c r="F56" t="s">
        <v>47</v>
      </c>
      <c r="I56" t="s">
        <v>145</v>
      </c>
      <c r="K56" s="2">
        <v>46207.357343599499</v>
      </c>
      <c r="L56" s="2">
        <v>46215.333346909698</v>
      </c>
      <c r="M56" t="s">
        <v>76</v>
      </c>
      <c r="N56" t="s">
        <v>77</v>
      </c>
      <c r="O56" t="s">
        <v>54</v>
      </c>
      <c r="P56" t="s">
        <v>88</v>
      </c>
      <c r="Q56" t="s">
        <v>405</v>
      </c>
      <c r="S56" t="s">
        <v>68</v>
      </c>
      <c r="V56" t="s">
        <v>59</v>
      </c>
      <c r="W56" t="s">
        <v>90</v>
      </c>
      <c r="X56" t="s">
        <v>61</v>
      </c>
      <c r="Y56" t="s">
        <v>47</v>
      </c>
      <c r="AA56" t="s">
        <v>453</v>
      </c>
      <c r="AF56" t="s">
        <v>454</v>
      </c>
      <c r="AI56" t="s">
        <v>449</v>
      </c>
      <c r="AJ56" t="s">
        <v>68</v>
      </c>
      <c r="AK56" t="s">
        <v>82</v>
      </c>
      <c r="AL56" t="s">
        <v>70</v>
      </c>
      <c r="AM56">
        <v>4</v>
      </c>
      <c r="AN56">
        <v>2026</v>
      </c>
      <c r="AO56" t="s">
        <v>71</v>
      </c>
      <c r="AP56">
        <v>12</v>
      </c>
      <c r="AQ56" t="s">
        <v>71</v>
      </c>
    </row>
    <row r="57" spans="1:43" x14ac:dyDescent="0.25">
      <c r="A57">
        <v>56</v>
      </c>
      <c r="B57" t="s">
        <v>141</v>
      </c>
      <c r="C57" t="s">
        <v>455</v>
      </c>
      <c r="D57" t="s">
        <v>456</v>
      </c>
      <c r="E57" t="s">
        <v>457</v>
      </c>
      <c r="F57" t="s">
        <v>47</v>
      </c>
      <c r="I57" t="s">
        <v>145</v>
      </c>
      <c r="K57" s="2">
        <v>46207.362631446798</v>
      </c>
      <c r="L57" s="2">
        <v>46207.3792644676</v>
      </c>
      <c r="M57" t="s">
        <v>76</v>
      </c>
      <c r="N57" t="s">
        <v>77</v>
      </c>
      <c r="O57" t="s">
        <v>54</v>
      </c>
      <c r="P57" t="s">
        <v>146</v>
      </c>
      <c r="Q57" t="s">
        <v>147</v>
      </c>
      <c r="R57" t="s">
        <v>57</v>
      </c>
      <c r="S57" t="s">
        <v>68</v>
      </c>
      <c r="V57" t="s">
        <v>59</v>
      </c>
      <c r="W57" t="s">
        <v>90</v>
      </c>
      <c r="X57" t="s">
        <v>61</v>
      </c>
      <c r="Y57" t="s">
        <v>47</v>
      </c>
      <c r="AA57" t="s">
        <v>458</v>
      </c>
      <c r="AF57" t="s">
        <v>459</v>
      </c>
      <c r="AI57" t="s">
        <v>449</v>
      </c>
      <c r="AJ57" t="s">
        <v>68</v>
      </c>
      <c r="AK57" t="s">
        <v>82</v>
      </c>
      <c r="AL57" t="s">
        <v>70</v>
      </c>
      <c r="AM57">
        <v>4</v>
      </c>
      <c r="AN57">
        <v>2026</v>
      </c>
      <c r="AO57" t="s">
        <v>71</v>
      </c>
      <c r="AP57">
        <v>4</v>
      </c>
      <c r="AQ57" t="s">
        <v>71</v>
      </c>
    </row>
    <row r="58" spans="1:43" x14ac:dyDescent="0.25">
      <c r="A58">
        <v>57</v>
      </c>
      <c r="B58" t="s">
        <v>249</v>
      </c>
      <c r="C58" t="s">
        <v>460</v>
      </c>
      <c r="D58" t="s">
        <v>461</v>
      </c>
      <c r="E58" t="s">
        <v>462</v>
      </c>
      <c r="F58" t="s">
        <v>47</v>
      </c>
      <c r="I58" t="s">
        <v>254</v>
      </c>
      <c r="K58" s="2">
        <v>46207.466175729198</v>
      </c>
      <c r="L58" s="2">
        <v>46215.333346909698</v>
      </c>
      <c r="M58" t="s">
        <v>76</v>
      </c>
      <c r="N58" t="s">
        <v>77</v>
      </c>
      <c r="O58" t="s">
        <v>54</v>
      </c>
      <c r="P58" t="s">
        <v>55</v>
      </c>
      <c r="Q58" t="s">
        <v>161</v>
      </c>
      <c r="S58" t="s">
        <v>68</v>
      </c>
      <c r="V58" t="s">
        <v>59</v>
      </c>
      <c r="W58" t="s">
        <v>90</v>
      </c>
      <c r="X58" t="s">
        <v>61</v>
      </c>
      <c r="Y58" t="s">
        <v>47</v>
      </c>
      <c r="AA58" t="s">
        <v>463</v>
      </c>
      <c r="AF58" t="s">
        <v>92</v>
      </c>
      <c r="AI58" t="s">
        <v>262</v>
      </c>
      <c r="AJ58" t="s">
        <v>68</v>
      </c>
      <c r="AK58" t="s">
        <v>82</v>
      </c>
      <c r="AL58" t="s">
        <v>70</v>
      </c>
      <c r="AM58">
        <v>4</v>
      </c>
      <c r="AN58">
        <v>2026</v>
      </c>
      <c r="AO58" t="s">
        <v>71</v>
      </c>
      <c r="AP58">
        <v>12</v>
      </c>
      <c r="AQ58" t="s">
        <v>71</v>
      </c>
    </row>
    <row r="59" spans="1:43" x14ac:dyDescent="0.25">
      <c r="A59">
        <v>58</v>
      </c>
      <c r="B59" t="s">
        <v>464</v>
      </c>
      <c r="C59" t="s">
        <v>465</v>
      </c>
      <c r="D59" t="s">
        <v>466</v>
      </c>
      <c r="E59" t="s">
        <v>467</v>
      </c>
      <c r="F59" t="s">
        <v>47</v>
      </c>
      <c r="I59" t="s">
        <v>275</v>
      </c>
      <c r="K59" s="2">
        <v>46207.353046099503</v>
      </c>
      <c r="L59" s="2">
        <v>46207.371956446797</v>
      </c>
      <c r="M59" t="s">
        <v>76</v>
      </c>
      <c r="N59" t="s">
        <v>77</v>
      </c>
      <c r="O59" t="s">
        <v>54</v>
      </c>
      <c r="P59" t="s">
        <v>88</v>
      </c>
      <c r="Q59" t="s">
        <v>126</v>
      </c>
      <c r="R59" t="s">
        <v>57</v>
      </c>
      <c r="S59" t="s">
        <v>68</v>
      </c>
      <c r="V59" t="s">
        <v>59</v>
      </c>
      <c r="X59" t="s">
        <v>61</v>
      </c>
      <c r="Y59" t="s">
        <v>47</v>
      </c>
      <c r="AA59" t="s">
        <v>468</v>
      </c>
      <c r="AF59" t="s">
        <v>469</v>
      </c>
      <c r="AI59" t="s">
        <v>470</v>
      </c>
      <c r="AJ59" t="s">
        <v>68</v>
      </c>
      <c r="AK59" t="s">
        <v>82</v>
      </c>
      <c r="AL59" t="s">
        <v>70</v>
      </c>
      <c r="AM59">
        <v>4</v>
      </c>
      <c r="AN59">
        <v>2026</v>
      </c>
      <c r="AO59" t="s">
        <v>71</v>
      </c>
      <c r="AP59">
        <v>4</v>
      </c>
      <c r="AQ59" t="s">
        <v>71</v>
      </c>
    </row>
    <row r="60" spans="1:43" x14ac:dyDescent="0.25">
      <c r="A60">
        <v>59</v>
      </c>
      <c r="B60" t="s">
        <v>106</v>
      </c>
      <c r="C60" t="s">
        <v>471</v>
      </c>
      <c r="D60" t="s">
        <v>472</v>
      </c>
      <c r="E60" t="s">
        <v>473</v>
      </c>
      <c r="F60" t="s">
        <v>47</v>
      </c>
      <c r="I60" t="s">
        <v>112</v>
      </c>
      <c r="K60" s="2">
        <v>46208.494431018502</v>
      </c>
      <c r="L60" s="2">
        <v>46208.746929548601</v>
      </c>
      <c r="M60" t="s">
        <v>76</v>
      </c>
      <c r="N60" t="s">
        <v>77</v>
      </c>
      <c r="O60" t="s">
        <v>54</v>
      </c>
      <c r="P60" t="s">
        <v>55</v>
      </c>
      <c r="Q60" t="s">
        <v>113</v>
      </c>
      <c r="R60" t="s">
        <v>57</v>
      </c>
      <c r="S60" t="s">
        <v>68</v>
      </c>
      <c r="V60" t="s">
        <v>59</v>
      </c>
      <c r="W60" t="s">
        <v>60</v>
      </c>
      <c r="X60" t="s">
        <v>61</v>
      </c>
      <c r="Y60" t="s">
        <v>47</v>
      </c>
      <c r="AA60" t="s">
        <v>474</v>
      </c>
      <c r="AF60" t="s">
        <v>117</v>
      </c>
      <c r="AI60" t="s">
        <v>475</v>
      </c>
      <c r="AJ60" t="s">
        <v>68</v>
      </c>
      <c r="AK60" t="s">
        <v>82</v>
      </c>
      <c r="AL60" t="s">
        <v>70</v>
      </c>
      <c r="AM60">
        <v>5</v>
      </c>
      <c r="AN60">
        <v>2026</v>
      </c>
      <c r="AO60" t="s">
        <v>71</v>
      </c>
      <c r="AP60">
        <v>5</v>
      </c>
      <c r="AQ60" t="s">
        <v>71</v>
      </c>
    </row>
    <row r="61" spans="1:43" x14ac:dyDescent="0.25">
      <c r="A61">
        <v>60</v>
      </c>
      <c r="B61" t="s">
        <v>43</v>
      </c>
      <c r="C61" t="s">
        <v>476</v>
      </c>
      <c r="D61" t="s">
        <v>477</v>
      </c>
      <c r="E61" t="s">
        <v>478</v>
      </c>
      <c r="F61" t="s">
        <v>274</v>
      </c>
      <c r="G61" t="s">
        <v>479</v>
      </c>
      <c r="H61" t="s">
        <v>480</v>
      </c>
      <c r="I61" t="s">
        <v>50</v>
      </c>
      <c r="J61" t="s">
        <v>51</v>
      </c>
      <c r="K61" s="2">
        <v>46209.723352349502</v>
      </c>
      <c r="L61" s="2">
        <v>46219.899248148096</v>
      </c>
      <c r="M61" t="s">
        <v>52</v>
      </c>
      <c r="N61" t="s">
        <v>53</v>
      </c>
      <c r="O61" t="s">
        <v>54</v>
      </c>
      <c r="P61" t="s">
        <v>55</v>
      </c>
      <c r="Q61" t="s">
        <v>405</v>
      </c>
      <c r="R61" t="s">
        <v>57</v>
      </c>
      <c r="S61" t="s">
        <v>481</v>
      </c>
      <c r="V61" t="s">
        <v>59</v>
      </c>
      <c r="W61" t="s">
        <v>60</v>
      </c>
      <c r="X61" t="s">
        <v>61</v>
      </c>
      <c r="Y61" t="s">
        <v>274</v>
      </c>
      <c r="Z61" t="s">
        <v>482</v>
      </c>
      <c r="AA61" t="s">
        <v>483</v>
      </c>
      <c r="AB61">
        <v>333332000</v>
      </c>
      <c r="AC61" t="s">
        <v>481</v>
      </c>
      <c r="AD61" s="2">
        <v>46218</v>
      </c>
      <c r="AE61" t="s">
        <v>484</v>
      </c>
      <c r="AF61" t="s">
        <v>65</v>
      </c>
      <c r="AG61" t="s">
        <v>66</v>
      </c>
      <c r="AK61" t="s">
        <v>69</v>
      </c>
      <c r="AL61" t="s">
        <v>277</v>
      </c>
      <c r="AM61">
        <v>6</v>
      </c>
      <c r="AN61">
        <v>2026</v>
      </c>
      <c r="AO61" t="s">
        <v>71</v>
      </c>
      <c r="AP61">
        <v>16</v>
      </c>
      <c r="AQ61" t="s">
        <v>71</v>
      </c>
    </row>
    <row r="62" spans="1:43" x14ac:dyDescent="0.25">
      <c r="A62">
        <v>61</v>
      </c>
      <c r="B62" t="s">
        <v>83</v>
      </c>
      <c r="C62" t="s">
        <v>485</v>
      </c>
      <c r="D62" t="s">
        <v>486</v>
      </c>
      <c r="E62" t="s">
        <v>487</v>
      </c>
      <c r="F62" t="s">
        <v>47</v>
      </c>
      <c r="H62" t="s">
        <v>488</v>
      </c>
      <c r="I62" t="s">
        <v>87</v>
      </c>
      <c r="J62" t="s">
        <v>51</v>
      </c>
      <c r="K62" s="2">
        <v>46209.401569756898</v>
      </c>
      <c r="L62" s="2">
        <v>46210.603150000003</v>
      </c>
      <c r="M62" t="s">
        <v>241</v>
      </c>
      <c r="N62" t="s">
        <v>242</v>
      </c>
      <c r="O62" t="s">
        <v>54</v>
      </c>
      <c r="P62" t="s">
        <v>174</v>
      </c>
      <c r="Q62" t="s">
        <v>154</v>
      </c>
      <c r="R62" t="s">
        <v>306</v>
      </c>
      <c r="S62" t="s">
        <v>58</v>
      </c>
      <c r="V62" t="s">
        <v>59</v>
      </c>
      <c r="W62" t="s">
        <v>90</v>
      </c>
      <c r="X62" t="s">
        <v>61</v>
      </c>
      <c r="Y62" t="s">
        <v>47</v>
      </c>
      <c r="Z62" t="s">
        <v>62</v>
      </c>
      <c r="AA62" t="s">
        <v>489</v>
      </c>
      <c r="AC62" t="s">
        <v>58</v>
      </c>
      <c r="AD62" s="2">
        <v>46209</v>
      </c>
      <c r="AE62" t="s">
        <v>92</v>
      </c>
      <c r="AF62" t="s">
        <v>92</v>
      </c>
      <c r="AG62" t="s">
        <v>246</v>
      </c>
      <c r="AI62" t="s">
        <v>179</v>
      </c>
      <c r="AJ62" t="s">
        <v>68</v>
      </c>
      <c r="AK62" t="s">
        <v>248</v>
      </c>
      <c r="AL62" t="s">
        <v>70</v>
      </c>
      <c r="AM62">
        <v>6</v>
      </c>
      <c r="AN62">
        <v>2026</v>
      </c>
      <c r="AO62" t="s">
        <v>71</v>
      </c>
      <c r="AP62">
        <v>7</v>
      </c>
      <c r="AQ62" t="s">
        <v>71</v>
      </c>
    </row>
    <row r="63" spans="1:43" x14ac:dyDescent="0.25">
      <c r="A63">
        <v>62</v>
      </c>
      <c r="B63" t="s">
        <v>83</v>
      </c>
      <c r="C63" t="s">
        <v>490</v>
      </c>
      <c r="D63" t="s">
        <v>491</v>
      </c>
      <c r="E63" t="s">
        <v>492</v>
      </c>
      <c r="F63" t="s">
        <v>47</v>
      </c>
      <c r="H63" t="s">
        <v>493</v>
      </c>
      <c r="I63" t="s">
        <v>193</v>
      </c>
      <c r="J63" t="s">
        <v>51</v>
      </c>
      <c r="K63" s="2">
        <v>46209.413190393498</v>
      </c>
      <c r="L63" s="2">
        <v>46213.648037766201</v>
      </c>
      <c r="M63" t="s">
        <v>241</v>
      </c>
      <c r="N63" t="s">
        <v>242</v>
      </c>
      <c r="O63" t="s">
        <v>54</v>
      </c>
      <c r="P63" t="s">
        <v>55</v>
      </c>
      <c r="Q63" t="s">
        <v>56</v>
      </c>
      <c r="R63" t="s">
        <v>306</v>
      </c>
      <c r="S63" t="s">
        <v>58</v>
      </c>
      <c r="V63" t="s">
        <v>59</v>
      </c>
      <c r="W63" t="s">
        <v>90</v>
      </c>
      <c r="X63" t="s">
        <v>61</v>
      </c>
      <c r="Y63" t="s">
        <v>47</v>
      </c>
      <c r="Z63" t="s">
        <v>255</v>
      </c>
      <c r="AA63" t="s">
        <v>494</v>
      </c>
      <c r="AC63" t="s">
        <v>58</v>
      </c>
      <c r="AD63" s="2">
        <v>46211</v>
      </c>
      <c r="AE63" t="s">
        <v>495</v>
      </c>
      <c r="AF63" t="s">
        <v>195</v>
      </c>
      <c r="AG63" t="s">
        <v>246</v>
      </c>
      <c r="AI63" t="s">
        <v>496</v>
      </c>
      <c r="AJ63" t="s">
        <v>68</v>
      </c>
      <c r="AK63" t="s">
        <v>248</v>
      </c>
      <c r="AL63" t="s">
        <v>70</v>
      </c>
      <c r="AM63">
        <v>6</v>
      </c>
      <c r="AN63">
        <v>2026</v>
      </c>
      <c r="AO63" t="s">
        <v>71</v>
      </c>
      <c r="AP63">
        <v>10</v>
      </c>
      <c r="AQ63" t="s">
        <v>71</v>
      </c>
    </row>
    <row r="64" spans="1:43" x14ac:dyDescent="0.25">
      <c r="A64">
        <v>63</v>
      </c>
      <c r="B64" t="s">
        <v>83</v>
      </c>
      <c r="C64" t="s">
        <v>497</v>
      </c>
      <c r="D64" t="s">
        <v>498</v>
      </c>
      <c r="E64" t="s">
        <v>499</v>
      </c>
      <c r="F64" t="s">
        <v>47</v>
      </c>
      <c r="I64" t="s">
        <v>87</v>
      </c>
      <c r="K64" s="2">
        <v>46209.414362118099</v>
      </c>
      <c r="L64" s="2">
        <v>46217.333348611101</v>
      </c>
      <c r="M64" t="s">
        <v>76</v>
      </c>
      <c r="N64" t="s">
        <v>77</v>
      </c>
      <c r="O64" t="s">
        <v>54</v>
      </c>
      <c r="P64" t="s">
        <v>285</v>
      </c>
      <c r="Q64" t="s">
        <v>126</v>
      </c>
      <c r="S64" t="s">
        <v>68</v>
      </c>
      <c r="V64" t="s">
        <v>59</v>
      </c>
      <c r="W64" t="s">
        <v>90</v>
      </c>
      <c r="X64" t="s">
        <v>61</v>
      </c>
      <c r="Y64" t="s">
        <v>47</v>
      </c>
      <c r="AA64" t="s">
        <v>500</v>
      </c>
      <c r="AF64" t="s">
        <v>501</v>
      </c>
      <c r="AI64" t="s">
        <v>502</v>
      </c>
      <c r="AJ64" t="s">
        <v>68</v>
      </c>
      <c r="AK64" t="s">
        <v>82</v>
      </c>
      <c r="AL64" t="s">
        <v>70</v>
      </c>
      <c r="AM64">
        <v>6</v>
      </c>
      <c r="AN64">
        <v>2026</v>
      </c>
      <c r="AO64" t="s">
        <v>71</v>
      </c>
      <c r="AP64">
        <v>14</v>
      </c>
      <c r="AQ64" t="s">
        <v>71</v>
      </c>
    </row>
    <row r="65" spans="1:43" x14ac:dyDescent="0.25">
      <c r="A65">
        <v>64</v>
      </c>
      <c r="B65" t="s">
        <v>83</v>
      </c>
      <c r="C65" t="s">
        <v>503</v>
      </c>
      <c r="D65" t="s">
        <v>504</v>
      </c>
      <c r="E65" t="s">
        <v>505</v>
      </c>
      <c r="F65" t="s">
        <v>47</v>
      </c>
      <c r="I65" t="s">
        <v>193</v>
      </c>
      <c r="K65" s="2">
        <v>46209.547701932897</v>
      </c>
      <c r="L65" s="2">
        <v>46209.559091863397</v>
      </c>
      <c r="M65" t="s">
        <v>76</v>
      </c>
      <c r="N65" t="s">
        <v>77</v>
      </c>
      <c r="O65" t="s">
        <v>54</v>
      </c>
      <c r="P65" t="s">
        <v>174</v>
      </c>
      <c r="Q65" t="s">
        <v>56</v>
      </c>
      <c r="R65" t="s">
        <v>57</v>
      </c>
      <c r="S65" t="s">
        <v>68</v>
      </c>
      <c r="V65" t="s">
        <v>59</v>
      </c>
      <c r="W65" t="s">
        <v>90</v>
      </c>
      <c r="X65" t="s">
        <v>61</v>
      </c>
      <c r="Y65" t="s">
        <v>47</v>
      </c>
      <c r="AA65" t="s">
        <v>506</v>
      </c>
      <c r="AF65" t="s">
        <v>195</v>
      </c>
      <c r="AI65" t="s">
        <v>431</v>
      </c>
      <c r="AJ65" t="s">
        <v>68</v>
      </c>
      <c r="AK65" t="s">
        <v>82</v>
      </c>
      <c r="AL65" t="s">
        <v>70</v>
      </c>
      <c r="AM65">
        <v>6</v>
      </c>
      <c r="AN65">
        <v>2026</v>
      </c>
      <c r="AO65" t="s">
        <v>71</v>
      </c>
      <c r="AP65">
        <v>6</v>
      </c>
      <c r="AQ65" t="s">
        <v>71</v>
      </c>
    </row>
    <row r="66" spans="1:43" x14ac:dyDescent="0.25">
      <c r="A66">
        <v>65</v>
      </c>
      <c r="B66" t="s">
        <v>83</v>
      </c>
      <c r="C66" t="s">
        <v>507</v>
      </c>
      <c r="D66" t="s">
        <v>508</v>
      </c>
      <c r="E66" t="s">
        <v>509</v>
      </c>
      <c r="F66" t="s">
        <v>47</v>
      </c>
      <c r="I66" t="s">
        <v>193</v>
      </c>
      <c r="K66" s="2">
        <v>46209.5731997685</v>
      </c>
      <c r="L66" s="2">
        <v>46217.333348611101</v>
      </c>
      <c r="M66" t="s">
        <v>76</v>
      </c>
      <c r="N66" t="s">
        <v>77</v>
      </c>
      <c r="O66" t="s">
        <v>54</v>
      </c>
      <c r="P66" t="s">
        <v>174</v>
      </c>
      <c r="Q66" t="s">
        <v>89</v>
      </c>
      <c r="S66" t="s">
        <v>68</v>
      </c>
      <c r="V66" t="s">
        <v>59</v>
      </c>
      <c r="W66" t="s">
        <v>90</v>
      </c>
      <c r="X66" t="s">
        <v>61</v>
      </c>
      <c r="Y66" t="s">
        <v>47</v>
      </c>
      <c r="AA66" t="s">
        <v>510</v>
      </c>
      <c r="AF66" t="s">
        <v>195</v>
      </c>
      <c r="AI66" t="s">
        <v>431</v>
      </c>
      <c r="AJ66" t="s">
        <v>68</v>
      </c>
      <c r="AK66" t="s">
        <v>82</v>
      </c>
      <c r="AL66" t="s">
        <v>70</v>
      </c>
      <c r="AM66">
        <v>6</v>
      </c>
      <c r="AN66">
        <v>2026</v>
      </c>
      <c r="AO66" t="s">
        <v>71</v>
      </c>
      <c r="AP66">
        <v>14</v>
      </c>
      <c r="AQ66" t="s">
        <v>71</v>
      </c>
    </row>
    <row r="67" spans="1:43" x14ac:dyDescent="0.25">
      <c r="A67">
        <v>66</v>
      </c>
      <c r="B67" t="s">
        <v>83</v>
      </c>
      <c r="C67" t="s">
        <v>511</v>
      </c>
      <c r="D67" t="s">
        <v>512</v>
      </c>
      <c r="E67" t="s">
        <v>513</v>
      </c>
      <c r="F67" t="s">
        <v>47</v>
      </c>
      <c r="I67" t="s">
        <v>87</v>
      </c>
      <c r="K67" s="2">
        <v>46209.714367743101</v>
      </c>
      <c r="L67" s="2">
        <v>46217.333348611101</v>
      </c>
      <c r="M67" t="s">
        <v>76</v>
      </c>
      <c r="N67" t="s">
        <v>77</v>
      </c>
      <c r="O67" t="s">
        <v>54</v>
      </c>
      <c r="P67" t="s">
        <v>174</v>
      </c>
      <c r="Q67" t="s">
        <v>161</v>
      </c>
      <c r="S67" t="s">
        <v>68</v>
      </c>
      <c r="V67" t="s">
        <v>59</v>
      </c>
      <c r="W67" t="s">
        <v>90</v>
      </c>
      <c r="X67" t="s">
        <v>61</v>
      </c>
      <c r="Y67" t="s">
        <v>47</v>
      </c>
      <c r="AA67" t="s">
        <v>514</v>
      </c>
      <c r="AF67" t="s">
        <v>92</v>
      </c>
      <c r="AI67" t="s">
        <v>168</v>
      </c>
      <c r="AJ67" t="s">
        <v>68</v>
      </c>
      <c r="AK67" t="s">
        <v>82</v>
      </c>
      <c r="AL67" t="s">
        <v>70</v>
      </c>
      <c r="AM67">
        <v>6</v>
      </c>
      <c r="AN67">
        <v>2026</v>
      </c>
      <c r="AO67" t="s">
        <v>71</v>
      </c>
      <c r="AP67">
        <v>14</v>
      </c>
      <c r="AQ67" t="s">
        <v>71</v>
      </c>
    </row>
    <row r="68" spans="1:43" x14ac:dyDescent="0.25">
      <c r="A68">
        <v>67</v>
      </c>
      <c r="B68" t="s">
        <v>106</v>
      </c>
      <c r="C68" t="s">
        <v>515</v>
      </c>
      <c r="D68" t="s">
        <v>516</v>
      </c>
      <c r="E68" t="s">
        <v>517</v>
      </c>
      <c r="F68" t="s">
        <v>274</v>
      </c>
      <c r="G68" t="s">
        <v>518</v>
      </c>
      <c r="H68" t="s">
        <v>519</v>
      </c>
      <c r="I68" t="s">
        <v>112</v>
      </c>
      <c r="J68" t="s">
        <v>51</v>
      </c>
      <c r="K68" s="2">
        <v>46209.566078206</v>
      </c>
      <c r="L68" s="2">
        <v>46211.532106562503</v>
      </c>
      <c r="M68" t="s">
        <v>52</v>
      </c>
      <c r="N68" t="s">
        <v>53</v>
      </c>
      <c r="O68" t="s">
        <v>54</v>
      </c>
      <c r="P68" t="s">
        <v>55</v>
      </c>
      <c r="Q68" t="s">
        <v>161</v>
      </c>
      <c r="R68" t="s">
        <v>243</v>
      </c>
      <c r="S68" t="s">
        <v>58</v>
      </c>
      <c r="V68" t="s">
        <v>59</v>
      </c>
      <c r="W68" t="s">
        <v>60</v>
      </c>
      <c r="X68" t="s">
        <v>61</v>
      </c>
      <c r="Y68" t="s">
        <v>274</v>
      </c>
      <c r="Z68" t="s">
        <v>482</v>
      </c>
      <c r="AA68" t="s">
        <v>520</v>
      </c>
      <c r="AB68">
        <v>160920000</v>
      </c>
      <c r="AC68" t="s">
        <v>58</v>
      </c>
      <c r="AD68" s="2">
        <v>46211</v>
      </c>
      <c r="AE68" t="s">
        <v>521</v>
      </c>
      <c r="AF68" t="s">
        <v>117</v>
      </c>
      <c r="AG68" t="s">
        <v>66</v>
      </c>
      <c r="AK68" t="s">
        <v>69</v>
      </c>
      <c r="AL68" t="s">
        <v>277</v>
      </c>
      <c r="AM68">
        <v>6</v>
      </c>
      <c r="AN68">
        <v>2026</v>
      </c>
      <c r="AO68" t="s">
        <v>71</v>
      </c>
      <c r="AP68">
        <v>8</v>
      </c>
      <c r="AQ68" t="s">
        <v>71</v>
      </c>
    </row>
    <row r="69" spans="1:43" x14ac:dyDescent="0.25">
      <c r="A69">
        <v>68</v>
      </c>
      <c r="B69" t="s">
        <v>213</v>
      </c>
      <c r="C69" t="s">
        <v>522</v>
      </c>
      <c r="D69" t="s">
        <v>523</v>
      </c>
      <c r="E69" t="s">
        <v>524</v>
      </c>
      <c r="F69" t="s">
        <v>47</v>
      </c>
      <c r="I69" t="s">
        <v>217</v>
      </c>
      <c r="K69" s="2">
        <v>46209.442764236097</v>
      </c>
      <c r="L69" s="2">
        <v>46209.461873495398</v>
      </c>
      <c r="M69" t="s">
        <v>76</v>
      </c>
      <c r="N69" t="s">
        <v>77</v>
      </c>
      <c r="O69" t="s">
        <v>54</v>
      </c>
      <c r="P69" t="s">
        <v>55</v>
      </c>
      <c r="Q69" t="s">
        <v>89</v>
      </c>
      <c r="R69" t="s">
        <v>57</v>
      </c>
      <c r="S69" t="s">
        <v>68</v>
      </c>
      <c r="V69" t="s">
        <v>59</v>
      </c>
      <c r="W69" t="s">
        <v>90</v>
      </c>
      <c r="X69" t="s">
        <v>61</v>
      </c>
      <c r="Y69" t="s">
        <v>47</v>
      </c>
      <c r="AA69" t="s">
        <v>525</v>
      </c>
      <c r="AF69" t="s">
        <v>526</v>
      </c>
      <c r="AI69" t="s">
        <v>527</v>
      </c>
      <c r="AJ69" t="s">
        <v>68</v>
      </c>
      <c r="AK69" t="s">
        <v>82</v>
      </c>
      <c r="AL69" t="s">
        <v>70</v>
      </c>
      <c r="AM69">
        <v>6</v>
      </c>
      <c r="AN69">
        <v>2026</v>
      </c>
      <c r="AO69" t="s">
        <v>71</v>
      </c>
      <c r="AP69">
        <v>6</v>
      </c>
      <c r="AQ69" t="s">
        <v>71</v>
      </c>
    </row>
    <row r="70" spans="1:43" x14ac:dyDescent="0.25">
      <c r="A70">
        <v>69</v>
      </c>
      <c r="B70" t="s">
        <v>345</v>
      </c>
      <c r="C70" t="s">
        <v>528</v>
      </c>
      <c r="D70" t="s">
        <v>529</v>
      </c>
      <c r="E70" t="s">
        <v>530</v>
      </c>
      <c r="F70" t="s">
        <v>47</v>
      </c>
      <c r="I70" t="s">
        <v>435</v>
      </c>
      <c r="K70" s="2">
        <v>46209.616391053198</v>
      </c>
      <c r="L70" s="2">
        <v>46217.333348611101</v>
      </c>
      <c r="M70" t="s">
        <v>76</v>
      </c>
      <c r="N70" t="s">
        <v>77</v>
      </c>
      <c r="O70" t="s">
        <v>54</v>
      </c>
      <c r="P70" t="s">
        <v>174</v>
      </c>
      <c r="Q70" t="s">
        <v>147</v>
      </c>
      <c r="S70" t="s">
        <v>68</v>
      </c>
      <c r="V70" t="s">
        <v>59</v>
      </c>
      <c r="W70" t="s">
        <v>90</v>
      </c>
      <c r="X70" t="s">
        <v>61</v>
      </c>
      <c r="Y70" t="s">
        <v>47</v>
      </c>
      <c r="AA70" t="s">
        <v>531</v>
      </c>
      <c r="AF70" t="s">
        <v>437</v>
      </c>
      <c r="AI70" t="s">
        <v>438</v>
      </c>
      <c r="AJ70" t="s">
        <v>68</v>
      </c>
      <c r="AK70" t="s">
        <v>82</v>
      </c>
      <c r="AL70" t="s">
        <v>70</v>
      </c>
      <c r="AM70">
        <v>6</v>
      </c>
      <c r="AN70">
        <v>2026</v>
      </c>
      <c r="AO70" t="s">
        <v>71</v>
      </c>
      <c r="AP70">
        <v>14</v>
      </c>
      <c r="AQ70" t="s">
        <v>71</v>
      </c>
    </row>
    <row r="71" spans="1:43" x14ac:dyDescent="0.25">
      <c r="A71">
        <v>70</v>
      </c>
      <c r="B71" t="s">
        <v>229</v>
      </c>
      <c r="C71" t="s">
        <v>532</v>
      </c>
      <c r="D71" t="s">
        <v>533</v>
      </c>
      <c r="E71" t="s">
        <v>534</v>
      </c>
      <c r="F71" t="s">
        <v>47</v>
      </c>
      <c r="I71" t="s">
        <v>233</v>
      </c>
      <c r="K71" s="2">
        <v>46209.498897800899</v>
      </c>
      <c r="L71" s="2">
        <v>46218.333372604196</v>
      </c>
      <c r="M71" t="s">
        <v>76</v>
      </c>
      <c r="N71" t="s">
        <v>77</v>
      </c>
      <c r="O71" t="s">
        <v>54</v>
      </c>
      <c r="P71" t="s">
        <v>55</v>
      </c>
      <c r="Q71" t="s">
        <v>535</v>
      </c>
      <c r="S71" t="s">
        <v>68</v>
      </c>
      <c r="V71" t="s">
        <v>59</v>
      </c>
      <c r="W71" t="s">
        <v>90</v>
      </c>
      <c r="X71" t="s">
        <v>61</v>
      </c>
      <c r="Y71" t="s">
        <v>47</v>
      </c>
      <c r="AA71" t="s">
        <v>536</v>
      </c>
      <c r="AF71" t="s">
        <v>245</v>
      </c>
      <c r="AI71" t="s">
        <v>537</v>
      </c>
      <c r="AJ71" t="s">
        <v>68</v>
      </c>
      <c r="AK71" t="s">
        <v>82</v>
      </c>
      <c r="AL71" t="s">
        <v>70</v>
      </c>
      <c r="AM71">
        <v>6</v>
      </c>
      <c r="AN71">
        <v>2026</v>
      </c>
      <c r="AO71" t="s">
        <v>71</v>
      </c>
      <c r="AP71">
        <v>15</v>
      </c>
      <c r="AQ71" t="s">
        <v>71</v>
      </c>
    </row>
    <row r="72" spans="1:43" x14ac:dyDescent="0.25">
      <c r="A72">
        <v>71</v>
      </c>
      <c r="B72" t="s">
        <v>229</v>
      </c>
      <c r="C72" t="s">
        <v>538</v>
      </c>
      <c r="D72" t="s">
        <v>539</v>
      </c>
      <c r="E72" t="s">
        <v>540</v>
      </c>
      <c r="F72" t="s">
        <v>47</v>
      </c>
      <c r="I72" t="s">
        <v>233</v>
      </c>
      <c r="K72" s="2">
        <v>46209.639958761603</v>
      </c>
      <c r="L72" s="2">
        <v>46218.333372604196</v>
      </c>
      <c r="M72" t="s">
        <v>76</v>
      </c>
      <c r="N72" t="s">
        <v>77</v>
      </c>
      <c r="O72" t="s">
        <v>54</v>
      </c>
      <c r="P72" t="s">
        <v>174</v>
      </c>
      <c r="Q72" t="s">
        <v>56</v>
      </c>
      <c r="S72" t="s">
        <v>68</v>
      </c>
      <c r="V72" t="s">
        <v>59</v>
      </c>
      <c r="W72" t="s">
        <v>90</v>
      </c>
      <c r="X72" t="s">
        <v>61</v>
      </c>
      <c r="Y72" t="s">
        <v>47</v>
      </c>
      <c r="AA72" t="s">
        <v>541</v>
      </c>
      <c r="AF72" t="s">
        <v>245</v>
      </c>
      <c r="AI72" t="s">
        <v>542</v>
      </c>
      <c r="AJ72" t="s">
        <v>68</v>
      </c>
      <c r="AK72" t="s">
        <v>82</v>
      </c>
      <c r="AL72" t="s">
        <v>70</v>
      </c>
      <c r="AM72">
        <v>6</v>
      </c>
      <c r="AN72">
        <v>2026</v>
      </c>
      <c r="AO72" t="s">
        <v>71</v>
      </c>
      <c r="AP72">
        <v>15</v>
      </c>
      <c r="AQ72" t="s">
        <v>71</v>
      </c>
    </row>
    <row r="73" spans="1:43" x14ac:dyDescent="0.25">
      <c r="A73">
        <v>72</v>
      </c>
      <c r="B73" t="s">
        <v>249</v>
      </c>
      <c r="C73" t="s">
        <v>543</v>
      </c>
      <c r="D73" t="s">
        <v>544</v>
      </c>
      <c r="E73" t="s">
        <v>545</v>
      </c>
      <c r="F73" t="s">
        <v>47</v>
      </c>
      <c r="I73" t="s">
        <v>254</v>
      </c>
      <c r="K73" s="2">
        <v>46209.638868634298</v>
      </c>
      <c r="L73" s="2">
        <v>46217.333348611101</v>
      </c>
      <c r="M73" t="s">
        <v>76</v>
      </c>
      <c r="N73" t="s">
        <v>77</v>
      </c>
      <c r="O73" t="s">
        <v>54</v>
      </c>
      <c r="P73" t="s">
        <v>55</v>
      </c>
      <c r="Q73" t="s">
        <v>89</v>
      </c>
      <c r="S73" t="s">
        <v>68</v>
      </c>
      <c r="V73" t="s">
        <v>59</v>
      </c>
      <c r="W73" t="s">
        <v>90</v>
      </c>
      <c r="X73" t="s">
        <v>61</v>
      </c>
      <c r="Y73" t="s">
        <v>47</v>
      </c>
      <c r="AA73" t="s">
        <v>546</v>
      </c>
      <c r="AF73" t="s">
        <v>92</v>
      </c>
      <c r="AI73" t="s">
        <v>262</v>
      </c>
      <c r="AJ73" t="s">
        <v>68</v>
      </c>
      <c r="AK73" t="s">
        <v>82</v>
      </c>
      <c r="AL73" t="s">
        <v>70</v>
      </c>
      <c r="AM73">
        <v>6</v>
      </c>
      <c r="AN73">
        <v>2026</v>
      </c>
      <c r="AO73" t="s">
        <v>71</v>
      </c>
      <c r="AP73">
        <v>14</v>
      </c>
      <c r="AQ73" t="s">
        <v>71</v>
      </c>
    </row>
    <row r="74" spans="1:43" x14ac:dyDescent="0.25">
      <c r="A74">
        <v>73</v>
      </c>
      <c r="B74" t="s">
        <v>249</v>
      </c>
      <c r="C74" t="s">
        <v>547</v>
      </c>
      <c r="D74" t="s">
        <v>548</v>
      </c>
      <c r="E74" t="s">
        <v>549</v>
      </c>
      <c r="F74" t="s">
        <v>47</v>
      </c>
      <c r="I74" t="s">
        <v>254</v>
      </c>
      <c r="K74" s="2">
        <v>46209.640938425902</v>
      </c>
      <c r="L74" s="2">
        <v>46209.659852777797</v>
      </c>
      <c r="M74" t="s">
        <v>76</v>
      </c>
      <c r="N74" t="s">
        <v>77</v>
      </c>
      <c r="O74" t="s">
        <v>54</v>
      </c>
      <c r="P74" t="s">
        <v>55</v>
      </c>
      <c r="Q74" t="s">
        <v>89</v>
      </c>
      <c r="R74" t="s">
        <v>57</v>
      </c>
      <c r="S74" t="s">
        <v>68</v>
      </c>
      <c r="V74" t="s">
        <v>59</v>
      </c>
      <c r="W74" t="s">
        <v>90</v>
      </c>
      <c r="X74" t="s">
        <v>61</v>
      </c>
      <c r="Y74" t="s">
        <v>47</v>
      </c>
      <c r="AA74" t="s">
        <v>550</v>
      </c>
      <c r="AF74" t="s">
        <v>92</v>
      </c>
      <c r="AI74" t="s">
        <v>551</v>
      </c>
      <c r="AJ74" t="s">
        <v>68</v>
      </c>
      <c r="AK74" t="s">
        <v>82</v>
      </c>
      <c r="AL74" t="s">
        <v>70</v>
      </c>
      <c r="AM74">
        <v>6</v>
      </c>
      <c r="AN74">
        <v>2026</v>
      </c>
      <c r="AO74" t="s">
        <v>71</v>
      </c>
      <c r="AP74">
        <v>6</v>
      </c>
      <c r="AQ74" t="s">
        <v>71</v>
      </c>
    </row>
    <row r="75" spans="1:43" x14ac:dyDescent="0.25">
      <c r="A75">
        <v>74</v>
      </c>
      <c r="B75" t="s">
        <v>249</v>
      </c>
      <c r="C75" t="s">
        <v>552</v>
      </c>
      <c r="D75" t="s">
        <v>553</v>
      </c>
      <c r="E75" t="s">
        <v>554</v>
      </c>
      <c r="F75" t="s">
        <v>47</v>
      </c>
      <c r="I75" t="s">
        <v>254</v>
      </c>
      <c r="K75" s="2">
        <v>46209.643455555597</v>
      </c>
      <c r="L75" s="2">
        <v>46209.653662962999</v>
      </c>
      <c r="M75" t="s">
        <v>76</v>
      </c>
      <c r="N75" t="s">
        <v>77</v>
      </c>
      <c r="O75" t="s">
        <v>54</v>
      </c>
      <c r="P75" t="s">
        <v>55</v>
      </c>
      <c r="Q75" t="s">
        <v>89</v>
      </c>
      <c r="R75" t="s">
        <v>57</v>
      </c>
      <c r="S75" t="s">
        <v>68</v>
      </c>
      <c r="V75" t="s">
        <v>59</v>
      </c>
      <c r="W75" t="s">
        <v>90</v>
      </c>
      <c r="X75" t="s">
        <v>61</v>
      </c>
      <c r="Y75" t="s">
        <v>47</v>
      </c>
      <c r="AA75" t="s">
        <v>555</v>
      </c>
      <c r="AF75" t="s">
        <v>92</v>
      </c>
      <c r="AI75" t="s">
        <v>551</v>
      </c>
      <c r="AJ75" t="s">
        <v>68</v>
      </c>
      <c r="AK75" t="s">
        <v>82</v>
      </c>
      <c r="AL75" t="s">
        <v>70</v>
      </c>
      <c r="AM75">
        <v>6</v>
      </c>
      <c r="AN75">
        <v>2026</v>
      </c>
      <c r="AO75" t="s">
        <v>71</v>
      </c>
      <c r="AP75">
        <v>6</v>
      </c>
      <c r="AQ75" t="s">
        <v>71</v>
      </c>
    </row>
    <row r="76" spans="1:43" x14ac:dyDescent="0.25">
      <c r="A76">
        <v>75</v>
      </c>
      <c r="B76" t="s">
        <v>249</v>
      </c>
      <c r="C76" t="s">
        <v>556</v>
      </c>
      <c r="D76" t="s">
        <v>557</v>
      </c>
      <c r="E76" t="s">
        <v>558</v>
      </c>
      <c r="F76" t="s">
        <v>47</v>
      </c>
      <c r="I76" t="s">
        <v>254</v>
      </c>
      <c r="K76" s="2">
        <v>46209.645258877303</v>
      </c>
      <c r="L76" s="2">
        <v>46217.333348611101</v>
      </c>
      <c r="M76" t="s">
        <v>76</v>
      </c>
      <c r="N76" t="s">
        <v>77</v>
      </c>
      <c r="O76" t="s">
        <v>54</v>
      </c>
      <c r="P76" t="s">
        <v>55</v>
      </c>
      <c r="Q76" t="s">
        <v>154</v>
      </c>
      <c r="S76" t="s">
        <v>68</v>
      </c>
      <c r="V76" t="s">
        <v>59</v>
      </c>
      <c r="W76" t="s">
        <v>90</v>
      </c>
      <c r="X76" t="s">
        <v>61</v>
      </c>
      <c r="Y76" t="s">
        <v>47</v>
      </c>
      <c r="AA76" t="s">
        <v>559</v>
      </c>
      <c r="AF76" t="s">
        <v>92</v>
      </c>
      <c r="AI76" t="s">
        <v>551</v>
      </c>
      <c r="AJ76" t="s">
        <v>68</v>
      </c>
      <c r="AK76" t="s">
        <v>82</v>
      </c>
      <c r="AL76" t="s">
        <v>70</v>
      </c>
      <c r="AM76">
        <v>6</v>
      </c>
      <c r="AN76">
        <v>2026</v>
      </c>
      <c r="AO76" t="s">
        <v>71</v>
      </c>
      <c r="AP76">
        <v>14</v>
      </c>
      <c r="AQ76" t="s">
        <v>71</v>
      </c>
    </row>
    <row r="77" spans="1:43" x14ac:dyDescent="0.25">
      <c r="A77">
        <v>76</v>
      </c>
      <c r="B77" t="s">
        <v>263</v>
      </c>
      <c r="C77" t="s">
        <v>560</v>
      </c>
      <c r="D77" t="s">
        <v>561</v>
      </c>
      <c r="E77" t="s">
        <v>562</v>
      </c>
      <c r="F77" t="s">
        <v>47</v>
      </c>
      <c r="G77" t="s">
        <v>563</v>
      </c>
      <c r="H77" t="s">
        <v>564</v>
      </c>
      <c r="I77" t="s">
        <v>267</v>
      </c>
      <c r="J77" t="s">
        <v>51</v>
      </c>
      <c r="K77" s="2">
        <v>46209.493206215302</v>
      </c>
      <c r="L77" s="2">
        <v>46211.976850613399</v>
      </c>
      <c r="M77" t="s">
        <v>52</v>
      </c>
      <c r="N77" t="s">
        <v>53</v>
      </c>
      <c r="O77" t="s">
        <v>54</v>
      </c>
      <c r="P77" t="s">
        <v>55</v>
      </c>
      <c r="Q77" t="s">
        <v>147</v>
      </c>
      <c r="R77" t="s">
        <v>57</v>
      </c>
      <c r="S77" t="s">
        <v>58</v>
      </c>
      <c r="V77" t="s">
        <v>59</v>
      </c>
      <c r="W77" t="s">
        <v>90</v>
      </c>
      <c r="X77" t="s">
        <v>61</v>
      </c>
      <c r="Y77" t="s">
        <v>47</v>
      </c>
      <c r="Z77" t="s">
        <v>255</v>
      </c>
      <c r="AA77" t="s">
        <v>565</v>
      </c>
      <c r="AB77">
        <v>93373500</v>
      </c>
      <c r="AC77" t="s">
        <v>58</v>
      </c>
      <c r="AD77" s="2">
        <v>46210</v>
      </c>
      <c r="AE77" t="s">
        <v>566</v>
      </c>
      <c r="AF77" t="s">
        <v>92</v>
      </c>
      <c r="AG77" t="s">
        <v>66</v>
      </c>
      <c r="AI77" t="s">
        <v>567</v>
      </c>
      <c r="AJ77" t="s">
        <v>68</v>
      </c>
      <c r="AK77" t="s">
        <v>69</v>
      </c>
      <c r="AL77" t="s">
        <v>70</v>
      </c>
      <c r="AM77">
        <v>6</v>
      </c>
      <c r="AN77">
        <v>2026</v>
      </c>
      <c r="AO77" t="s">
        <v>71</v>
      </c>
      <c r="AP77">
        <v>8</v>
      </c>
      <c r="AQ77" t="s">
        <v>71</v>
      </c>
    </row>
    <row r="78" spans="1:43" x14ac:dyDescent="0.25">
      <c r="A78">
        <v>77</v>
      </c>
      <c r="B78" t="s">
        <v>263</v>
      </c>
      <c r="C78" t="s">
        <v>568</v>
      </c>
      <c r="D78" t="s">
        <v>569</v>
      </c>
      <c r="E78" t="s">
        <v>570</v>
      </c>
      <c r="F78" t="s">
        <v>47</v>
      </c>
      <c r="I78" t="s">
        <v>267</v>
      </c>
      <c r="K78" s="2">
        <v>46209.684884108799</v>
      </c>
      <c r="L78" s="2">
        <v>46217.333348611101</v>
      </c>
      <c r="M78" t="s">
        <v>76</v>
      </c>
      <c r="N78" t="s">
        <v>77</v>
      </c>
      <c r="O78" t="s">
        <v>54</v>
      </c>
      <c r="P78" t="s">
        <v>88</v>
      </c>
      <c r="Q78" t="s">
        <v>571</v>
      </c>
      <c r="S78" t="s">
        <v>68</v>
      </c>
      <c r="V78" t="s">
        <v>59</v>
      </c>
      <c r="W78" t="s">
        <v>90</v>
      </c>
      <c r="X78" t="s">
        <v>61</v>
      </c>
      <c r="Y78" t="s">
        <v>47</v>
      </c>
      <c r="AA78" t="s">
        <v>572</v>
      </c>
      <c r="AF78" t="s">
        <v>92</v>
      </c>
      <c r="AI78" t="s">
        <v>269</v>
      </c>
      <c r="AJ78" t="s">
        <v>68</v>
      </c>
      <c r="AK78" t="s">
        <v>82</v>
      </c>
      <c r="AL78" t="s">
        <v>70</v>
      </c>
      <c r="AM78">
        <v>6</v>
      </c>
      <c r="AN78">
        <v>2026</v>
      </c>
      <c r="AO78" t="s">
        <v>71</v>
      </c>
      <c r="AP78">
        <v>14</v>
      </c>
      <c r="AQ78" t="s">
        <v>71</v>
      </c>
    </row>
    <row r="79" spans="1:43" x14ac:dyDescent="0.25">
      <c r="A79">
        <v>78</v>
      </c>
      <c r="B79" t="s">
        <v>270</v>
      </c>
      <c r="C79" t="s">
        <v>573</v>
      </c>
      <c r="D79" t="s">
        <v>574</v>
      </c>
      <c r="E79" t="s">
        <v>575</v>
      </c>
      <c r="F79" t="s">
        <v>47</v>
      </c>
      <c r="G79" t="s">
        <v>576</v>
      </c>
      <c r="H79" t="s">
        <v>577</v>
      </c>
      <c r="I79" t="s">
        <v>275</v>
      </c>
      <c r="J79" t="s">
        <v>51</v>
      </c>
      <c r="K79" s="2">
        <v>46209.626325497702</v>
      </c>
      <c r="L79" s="2">
        <v>46217.634294178199</v>
      </c>
      <c r="M79" t="s">
        <v>52</v>
      </c>
      <c r="N79" t="s">
        <v>53</v>
      </c>
      <c r="O79" t="s">
        <v>54</v>
      </c>
      <c r="P79" t="s">
        <v>55</v>
      </c>
      <c r="Q79" t="s">
        <v>126</v>
      </c>
      <c r="R79" t="s">
        <v>578</v>
      </c>
      <c r="S79" t="s">
        <v>481</v>
      </c>
      <c r="V79" t="s">
        <v>59</v>
      </c>
      <c r="W79" t="s">
        <v>90</v>
      </c>
      <c r="X79" t="s">
        <v>61</v>
      </c>
      <c r="Y79" t="s">
        <v>47</v>
      </c>
      <c r="Z79" t="s">
        <v>255</v>
      </c>
      <c r="AA79" t="s">
        <v>579</v>
      </c>
      <c r="AB79">
        <v>42302000</v>
      </c>
      <c r="AC79" t="s">
        <v>481</v>
      </c>
      <c r="AD79" s="2">
        <v>46217</v>
      </c>
      <c r="AE79" t="s">
        <v>580</v>
      </c>
      <c r="AF79" t="s">
        <v>92</v>
      </c>
      <c r="AG79" t="s">
        <v>66</v>
      </c>
      <c r="AI79" t="s">
        <v>581</v>
      </c>
      <c r="AJ79" t="s">
        <v>68</v>
      </c>
      <c r="AK79" t="s">
        <v>69</v>
      </c>
      <c r="AL79" t="s">
        <v>70</v>
      </c>
      <c r="AM79">
        <v>6</v>
      </c>
      <c r="AN79">
        <v>2026</v>
      </c>
      <c r="AO79" t="s">
        <v>71</v>
      </c>
      <c r="AP79">
        <v>14</v>
      </c>
      <c r="AQ79" t="s">
        <v>71</v>
      </c>
    </row>
    <row r="80" spans="1:43" x14ac:dyDescent="0.25">
      <c r="A80">
        <v>79</v>
      </c>
      <c r="B80" t="s">
        <v>270</v>
      </c>
      <c r="C80" t="s">
        <v>582</v>
      </c>
      <c r="D80" t="s">
        <v>583</v>
      </c>
      <c r="E80" t="s">
        <v>584</v>
      </c>
      <c r="F80" t="s">
        <v>47</v>
      </c>
      <c r="I80" t="s">
        <v>275</v>
      </c>
      <c r="K80" s="2">
        <v>46209.636295798598</v>
      </c>
      <c r="L80" s="2">
        <v>46221.333345370404</v>
      </c>
      <c r="M80" t="s">
        <v>76</v>
      </c>
      <c r="N80" t="s">
        <v>77</v>
      </c>
      <c r="O80" t="s">
        <v>54</v>
      </c>
      <c r="P80" t="s">
        <v>55</v>
      </c>
      <c r="Q80" t="s">
        <v>79</v>
      </c>
      <c r="S80" t="s">
        <v>68</v>
      </c>
      <c r="V80" t="s">
        <v>59</v>
      </c>
      <c r="W80" t="s">
        <v>90</v>
      </c>
      <c r="X80" t="s">
        <v>61</v>
      </c>
      <c r="Y80" t="s">
        <v>47</v>
      </c>
      <c r="AA80" t="s">
        <v>585</v>
      </c>
      <c r="AF80" t="s">
        <v>92</v>
      </c>
      <c r="AI80" t="s">
        <v>581</v>
      </c>
      <c r="AJ80" t="s">
        <v>68</v>
      </c>
      <c r="AK80" t="s">
        <v>82</v>
      </c>
      <c r="AL80" t="s">
        <v>70</v>
      </c>
      <c r="AM80">
        <v>6</v>
      </c>
      <c r="AN80">
        <v>2026</v>
      </c>
      <c r="AO80" t="s">
        <v>71</v>
      </c>
      <c r="AP80">
        <v>18</v>
      </c>
      <c r="AQ80" t="s">
        <v>71</v>
      </c>
    </row>
    <row r="81" spans="1:43" x14ac:dyDescent="0.25">
      <c r="A81">
        <v>80</v>
      </c>
      <c r="B81" t="s">
        <v>278</v>
      </c>
      <c r="C81" t="s">
        <v>586</v>
      </c>
      <c r="D81" t="s">
        <v>587</v>
      </c>
      <c r="E81" t="s">
        <v>588</v>
      </c>
      <c r="F81" t="s">
        <v>47</v>
      </c>
      <c r="G81" t="s">
        <v>589</v>
      </c>
      <c r="H81" t="s">
        <v>590</v>
      </c>
      <c r="I81" t="s">
        <v>284</v>
      </c>
      <c r="J81" t="s">
        <v>51</v>
      </c>
      <c r="K81" s="2">
        <v>46209.509129942096</v>
      </c>
      <c r="L81" s="2">
        <v>46211.656946215298</v>
      </c>
      <c r="M81" t="s">
        <v>52</v>
      </c>
      <c r="N81" t="s">
        <v>53</v>
      </c>
      <c r="O81" t="s">
        <v>54</v>
      </c>
      <c r="P81" t="s">
        <v>55</v>
      </c>
      <c r="Q81" t="s">
        <v>126</v>
      </c>
      <c r="R81" t="s">
        <v>57</v>
      </c>
      <c r="S81" t="s">
        <v>58</v>
      </c>
      <c r="V81" t="s">
        <v>59</v>
      </c>
      <c r="W81" t="s">
        <v>90</v>
      </c>
      <c r="X81" t="s">
        <v>61</v>
      </c>
      <c r="Y81" t="s">
        <v>47</v>
      </c>
      <c r="Z81" t="s">
        <v>114</v>
      </c>
      <c r="AA81" t="s">
        <v>591</v>
      </c>
      <c r="AB81">
        <v>50459500</v>
      </c>
      <c r="AC81" t="s">
        <v>58</v>
      </c>
      <c r="AD81" s="2">
        <v>46211</v>
      </c>
      <c r="AE81" t="s">
        <v>592</v>
      </c>
      <c r="AF81" t="s">
        <v>593</v>
      </c>
      <c r="AG81" t="s">
        <v>66</v>
      </c>
      <c r="AI81" t="s">
        <v>594</v>
      </c>
      <c r="AJ81" t="s">
        <v>68</v>
      </c>
      <c r="AK81" t="s">
        <v>69</v>
      </c>
      <c r="AL81" t="s">
        <v>70</v>
      </c>
      <c r="AM81">
        <v>6</v>
      </c>
      <c r="AN81">
        <v>2026</v>
      </c>
      <c r="AO81" t="s">
        <v>71</v>
      </c>
      <c r="AP81">
        <v>8</v>
      </c>
      <c r="AQ81" t="s">
        <v>71</v>
      </c>
    </row>
    <row r="82" spans="1:43" x14ac:dyDescent="0.25">
      <c r="A82">
        <v>81</v>
      </c>
      <c r="B82" t="s">
        <v>83</v>
      </c>
      <c r="C82" t="s">
        <v>595</v>
      </c>
      <c r="D82" t="s">
        <v>596</v>
      </c>
      <c r="E82" t="s">
        <v>597</v>
      </c>
      <c r="F82" t="s">
        <v>47</v>
      </c>
      <c r="I82" t="s">
        <v>193</v>
      </c>
      <c r="K82" s="2">
        <v>46210.454250150498</v>
      </c>
      <c r="L82" s="2">
        <v>46210.4621309375</v>
      </c>
      <c r="M82" t="s">
        <v>76</v>
      </c>
      <c r="N82" t="s">
        <v>77</v>
      </c>
      <c r="O82" t="s">
        <v>54</v>
      </c>
      <c r="P82" t="s">
        <v>598</v>
      </c>
      <c r="Q82" t="s">
        <v>296</v>
      </c>
      <c r="R82" t="s">
        <v>57</v>
      </c>
      <c r="S82" t="s">
        <v>68</v>
      </c>
      <c r="V82" t="s">
        <v>59</v>
      </c>
      <c r="W82" t="s">
        <v>90</v>
      </c>
      <c r="X82" t="s">
        <v>61</v>
      </c>
      <c r="Y82" t="s">
        <v>47</v>
      </c>
      <c r="AA82" t="s">
        <v>599</v>
      </c>
      <c r="AF82" t="s">
        <v>195</v>
      </c>
      <c r="AI82" t="s">
        <v>600</v>
      </c>
      <c r="AJ82" t="s">
        <v>68</v>
      </c>
      <c r="AK82" t="s">
        <v>82</v>
      </c>
      <c r="AL82" t="s">
        <v>70</v>
      </c>
      <c r="AM82">
        <v>7</v>
      </c>
      <c r="AN82">
        <v>2026</v>
      </c>
      <c r="AO82" t="s">
        <v>71</v>
      </c>
      <c r="AP82">
        <v>7</v>
      </c>
      <c r="AQ82" t="s">
        <v>71</v>
      </c>
    </row>
    <row r="83" spans="1:43" x14ac:dyDescent="0.25">
      <c r="A83">
        <v>82</v>
      </c>
      <c r="B83" t="s">
        <v>83</v>
      </c>
      <c r="C83" t="s">
        <v>601</v>
      </c>
      <c r="D83" t="s">
        <v>602</v>
      </c>
      <c r="E83" t="s">
        <v>603</v>
      </c>
      <c r="F83" t="s">
        <v>47</v>
      </c>
      <c r="G83" t="s">
        <v>604</v>
      </c>
      <c r="H83" t="s">
        <v>605</v>
      </c>
      <c r="I83" t="s">
        <v>87</v>
      </c>
      <c r="J83" t="s">
        <v>51</v>
      </c>
      <c r="K83" s="2">
        <v>46210.505366203703</v>
      </c>
      <c r="L83" s="2">
        <v>46212.417051932898</v>
      </c>
      <c r="M83" t="s">
        <v>52</v>
      </c>
      <c r="N83" t="s">
        <v>53</v>
      </c>
      <c r="O83" t="s">
        <v>54</v>
      </c>
      <c r="P83" t="s">
        <v>160</v>
      </c>
      <c r="Q83" t="s">
        <v>161</v>
      </c>
      <c r="R83" t="s">
        <v>57</v>
      </c>
      <c r="S83" t="s">
        <v>58</v>
      </c>
      <c r="V83" t="s">
        <v>59</v>
      </c>
      <c r="W83" t="s">
        <v>90</v>
      </c>
      <c r="X83" t="s">
        <v>61</v>
      </c>
      <c r="Y83" t="s">
        <v>47</v>
      </c>
      <c r="Z83" t="s">
        <v>114</v>
      </c>
      <c r="AA83" t="s">
        <v>606</v>
      </c>
      <c r="AB83">
        <v>194650000</v>
      </c>
      <c r="AC83" t="s">
        <v>58</v>
      </c>
      <c r="AD83" s="2">
        <v>46211</v>
      </c>
      <c r="AE83" t="s">
        <v>607</v>
      </c>
      <c r="AF83" t="s">
        <v>92</v>
      </c>
      <c r="AG83" t="s">
        <v>66</v>
      </c>
      <c r="AI83" t="s">
        <v>179</v>
      </c>
      <c r="AJ83" t="s">
        <v>68</v>
      </c>
      <c r="AK83" t="s">
        <v>69</v>
      </c>
      <c r="AL83" t="s">
        <v>70</v>
      </c>
      <c r="AM83">
        <v>7</v>
      </c>
      <c r="AN83">
        <v>2026</v>
      </c>
      <c r="AO83" t="s">
        <v>71</v>
      </c>
      <c r="AP83">
        <v>9</v>
      </c>
      <c r="AQ83" t="s">
        <v>71</v>
      </c>
    </row>
    <row r="84" spans="1:43" x14ac:dyDescent="0.25">
      <c r="A84">
        <v>83</v>
      </c>
      <c r="B84" t="s">
        <v>83</v>
      </c>
      <c r="C84" t="s">
        <v>608</v>
      </c>
      <c r="D84" t="s">
        <v>609</v>
      </c>
      <c r="E84" t="s">
        <v>610</v>
      </c>
      <c r="F84" t="s">
        <v>47</v>
      </c>
      <c r="I84" t="s">
        <v>87</v>
      </c>
      <c r="K84" s="2">
        <v>46210.575927743099</v>
      </c>
      <c r="L84" s="2">
        <v>46218.333372604196</v>
      </c>
      <c r="M84" t="s">
        <v>76</v>
      </c>
      <c r="N84" t="s">
        <v>77</v>
      </c>
      <c r="O84" t="s">
        <v>54</v>
      </c>
      <c r="P84" t="s">
        <v>78</v>
      </c>
      <c r="Q84" t="s">
        <v>56</v>
      </c>
      <c r="S84" t="s">
        <v>68</v>
      </c>
      <c r="V84" t="s">
        <v>59</v>
      </c>
      <c r="W84" t="s">
        <v>90</v>
      </c>
      <c r="X84" t="s">
        <v>61</v>
      </c>
      <c r="Y84" t="s">
        <v>47</v>
      </c>
      <c r="AA84" t="s">
        <v>611</v>
      </c>
      <c r="AF84" t="s">
        <v>92</v>
      </c>
      <c r="AI84" t="s">
        <v>612</v>
      </c>
      <c r="AJ84" t="s">
        <v>68</v>
      </c>
      <c r="AK84" t="s">
        <v>82</v>
      </c>
      <c r="AL84" t="s">
        <v>70</v>
      </c>
      <c r="AM84">
        <v>7</v>
      </c>
      <c r="AN84">
        <v>2026</v>
      </c>
      <c r="AO84" t="s">
        <v>71</v>
      </c>
      <c r="AP84">
        <v>15</v>
      </c>
      <c r="AQ84" t="s">
        <v>71</v>
      </c>
    </row>
    <row r="85" spans="1:43" x14ac:dyDescent="0.25">
      <c r="A85">
        <v>84</v>
      </c>
      <c r="B85" t="s">
        <v>106</v>
      </c>
      <c r="C85" t="s">
        <v>613</v>
      </c>
      <c r="D85" t="s">
        <v>614</v>
      </c>
      <c r="E85" t="s">
        <v>615</v>
      </c>
      <c r="F85" t="s">
        <v>47</v>
      </c>
      <c r="I85" t="s">
        <v>112</v>
      </c>
      <c r="K85" s="2">
        <v>46210.524706747703</v>
      </c>
      <c r="L85" s="2">
        <v>46218.333372604196</v>
      </c>
      <c r="M85" t="s">
        <v>76</v>
      </c>
      <c r="N85" t="s">
        <v>77</v>
      </c>
      <c r="O85" t="s">
        <v>54</v>
      </c>
      <c r="P85" t="s">
        <v>55</v>
      </c>
      <c r="Q85" t="s">
        <v>161</v>
      </c>
      <c r="S85" t="s">
        <v>68</v>
      </c>
      <c r="V85" t="s">
        <v>59</v>
      </c>
      <c r="W85" t="s">
        <v>60</v>
      </c>
      <c r="X85" t="s">
        <v>61</v>
      </c>
      <c r="Y85" t="s">
        <v>47</v>
      </c>
      <c r="AA85" t="s">
        <v>616</v>
      </c>
      <c r="AF85" t="s">
        <v>117</v>
      </c>
      <c r="AI85" t="s">
        <v>617</v>
      </c>
      <c r="AJ85" t="s">
        <v>68</v>
      </c>
      <c r="AK85" t="s">
        <v>82</v>
      </c>
      <c r="AL85" t="s">
        <v>70</v>
      </c>
      <c r="AM85">
        <v>7</v>
      </c>
      <c r="AN85">
        <v>2026</v>
      </c>
      <c r="AO85" t="s">
        <v>71</v>
      </c>
      <c r="AP85">
        <v>15</v>
      </c>
      <c r="AQ85" t="s">
        <v>71</v>
      </c>
    </row>
    <row r="86" spans="1:43" x14ac:dyDescent="0.25">
      <c r="A86">
        <v>85</v>
      </c>
      <c r="B86" t="s">
        <v>213</v>
      </c>
      <c r="C86" t="s">
        <v>618</v>
      </c>
      <c r="D86" t="s">
        <v>619</v>
      </c>
      <c r="E86" t="s">
        <v>620</v>
      </c>
      <c r="F86" t="s">
        <v>47</v>
      </c>
      <c r="I86" t="s">
        <v>217</v>
      </c>
      <c r="K86" s="2">
        <v>46210.717367557903</v>
      </c>
      <c r="L86" s="2">
        <v>46218.333372604196</v>
      </c>
      <c r="M86" t="s">
        <v>76</v>
      </c>
      <c r="N86" t="s">
        <v>77</v>
      </c>
      <c r="O86" t="s">
        <v>54</v>
      </c>
      <c r="P86" t="s">
        <v>88</v>
      </c>
      <c r="Q86" t="s">
        <v>621</v>
      </c>
      <c r="S86" t="s">
        <v>68</v>
      </c>
      <c r="V86" t="s">
        <v>59</v>
      </c>
      <c r="W86" t="s">
        <v>90</v>
      </c>
      <c r="X86" t="s">
        <v>61</v>
      </c>
      <c r="Y86" t="s">
        <v>47</v>
      </c>
      <c r="AA86" t="s">
        <v>622</v>
      </c>
      <c r="AF86" t="s">
        <v>220</v>
      </c>
      <c r="AI86" t="s">
        <v>623</v>
      </c>
      <c r="AJ86" t="s">
        <v>68</v>
      </c>
      <c r="AK86" t="s">
        <v>82</v>
      </c>
      <c r="AL86" t="s">
        <v>70</v>
      </c>
      <c r="AM86">
        <v>7</v>
      </c>
      <c r="AN86">
        <v>2026</v>
      </c>
      <c r="AO86" t="s">
        <v>71</v>
      </c>
      <c r="AP86">
        <v>15</v>
      </c>
      <c r="AQ86" t="s">
        <v>71</v>
      </c>
    </row>
    <row r="87" spans="1:43" x14ac:dyDescent="0.25">
      <c r="A87">
        <v>86</v>
      </c>
      <c r="B87" t="s">
        <v>345</v>
      </c>
      <c r="C87" t="s">
        <v>624</v>
      </c>
      <c r="D87" t="s">
        <v>625</v>
      </c>
      <c r="E87" t="s">
        <v>626</v>
      </c>
      <c r="F87" t="s">
        <v>47</v>
      </c>
      <c r="I87" t="s">
        <v>351</v>
      </c>
      <c r="K87" s="2">
        <v>46210.003594907401</v>
      </c>
      <c r="L87" s="2">
        <v>46210.336874270797</v>
      </c>
      <c r="M87" t="s">
        <v>76</v>
      </c>
      <c r="N87" t="s">
        <v>77</v>
      </c>
      <c r="O87" t="s">
        <v>54</v>
      </c>
      <c r="P87" t="s">
        <v>55</v>
      </c>
      <c r="Q87" t="s">
        <v>113</v>
      </c>
      <c r="R87" t="s">
        <v>57</v>
      </c>
      <c r="S87" t="s">
        <v>68</v>
      </c>
      <c r="V87" t="s">
        <v>59</v>
      </c>
      <c r="W87" t="s">
        <v>90</v>
      </c>
      <c r="X87" t="s">
        <v>61</v>
      </c>
      <c r="Y87" t="s">
        <v>47</v>
      </c>
      <c r="AA87" t="s">
        <v>627</v>
      </c>
      <c r="AF87" t="s">
        <v>65</v>
      </c>
      <c r="AI87" t="s">
        <v>628</v>
      </c>
      <c r="AJ87" t="s">
        <v>68</v>
      </c>
      <c r="AK87" t="s">
        <v>82</v>
      </c>
      <c r="AL87" t="s">
        <v>70</v>
      </c>
      <c r="AM87">
        <v>7</v>
      </c>
      <c r="AN87">
        <v>2026</v>
      </c>
      <c r="AO87" t="s">
        <v>71</v>
      </c>
      <c r="AP87">
        <v>7</v>
      </c>
      <c r="AQ87" t="s">
        <v>71</v>
      </c>
    </row>
    <row r="88" spans="1:43" x14ac:dyDescent="0.25">
      <c r="A88">
        <v>87</v>
      </c>
      <c r="B88" t="s">
        <v>345</v>
      </c>
      <c r="C88" t="s">
        <v>629</v>
      </c>
      <c r="D88" t="s">
        <v>630</v>
      </c>
      <c r="E88" t="s">
        <v>631</v>
      </c>
      <c r="F88" t="s">
        <v>47</v>
      </c>
      <c r="I88" t="s">
        <v>351</v>
      </c>
      <c r="J88" t="s">
        <v>51</v>
      </c>
      <c r="K88" s="2">
        <v>46210.738599733799</v>
      </c>
      <c r="L88" s="2">
        <v>46210.9097475694</v>
      </c>
      <c r="M88" t="s">
        <v>76</v>
      </c>
      <c r="N88" t="s">
        <v>77</v>
      </c>
      <c r="O88" t="s">
        <v>54</v>
      </c>
      <c r="P88" t="s">
        <v>55</v>
      </c>
      <c r="Q88" t="s">
        <v>147</v>
      </c>
      <c r="R88" t="s">
        <v>632</v>
      </c>
      <c r="S88" t="s">
        <v>68</v>
      </c>
      <c r="V88" t="s">
        <v>59</v>
      </c>
      <c r="W88" t="s">
        <v>90</v>
      </c>
      <c r="X88" t="s">
        <v>61</v>
      </c>
      <c r="Y88" t="s">
        <v>47</v>
      </c>
      <c r="AA88" t="s">
        <v>633</v>
      </c>
      <c r="AF88" t="s">
        <v>117</v>
      </c>
      <c r="AG88" t="s">
        <v>246</v>
      </c>
      <c r="AI88" t="s">
        <v>634</v>
      </c>
      <c r="AJ88" t="s">
        <v>68</v>
      </c>
      <c r="AK88" t="s">
        <v>82</v>
      </c>
      <c r="AL88" t="s">
        <v>70</v>
      </c>
      <c r="AM88">
        <v>7</v>
      </c>
      <c r="AN88">
        <v>2026</v>
      </c>
      <c r="AO88" t="s">
        <v>71</v>
      </c>
      <c r="AP88">
        <v>7</v>
      </c>
      <c r="AQ88" t="s">
        <v>71</v>
      </c>
    </row>
    <row r="89" spans="1:43" x14ac:dyDescent="0.25">
      <c r="A89">
        <v>88</v>
      </c>
      <c r="B89" t="s">
        <v>345</v>
      </c>
      <c r="C89" t="s">
        <v>635</v>
      </c>
      <c r="D89" t="s">
        <v>636</v>
      </c>
      <c r="E89" t="s">
        <v>637</v>
      </c>
      <c r="F89" t="s">
        <v>47</v>
      </c>
      <c r="I89" t="s">
        <v>435</v>
      </c>
      <c r="K89" s="2">
        <v>46210.953697766199</v>
      </c>
      <c r="L89" s="2">
        <v>46219.333346493098</v>
      </c>
      <c r="M89" t="s">
        <v>76</v>
      </c>
      <c r="N89" t="s">
        <v>77</v>
      </c>
      <c r="O89" t="s">
        <v>54</v>
      </c>
      <c r="P89" t="s">
        <v>146</v>
      </c>
      <c r="Q89" t="s">
        <v>79</v>
      </c>
      <c r="S89" t="s">
        <v>68</v>
      </c>
      <c r="V89" t="s">
        <v>59</v>
      </c>
      <c r="W89" t="s">
        <v>90</v>
      </c>
      <c r="X89" t="s">
        <v>61</v>
      </c>
      <c r="Y89" t="s">
        <v>47</v>
      </c>
      <c r="AA89" t="s">
        <v>638</v>
      </c>
      <c r="AF89" t="s">
        <v>65</v>
      </c>
      <c r="AI89" t="s">
        <v>639</v>
      </c>
      <c r="AJ89" t="s">
        <v>68</v>
      </c>
      <c r="AK89" t="s">
        <v>82</v>
      </c>
      <c r="AL89" t="s">
        <v>70</v>
      </c>
      <c r="AM89">
        <v>7</v>
      </c>
      <c r="AN89">
        <v>2026</v>
      </c>
      <c r="AO89" t="s">
        <v>71</v>
      </c>
      <c r="AP89">
        <v>16</v>
      </c>
      <c r="AQ89" t="s">
        <v>71</v>
      </c>
    </row>
    <row r="90" spans="1:43" x14ac:dyDescent="0.25">
      <c r="A90">
        <v>89</v>
      </c>
      <c r="B90" t="s">
        <v>229</v>
      </c>
      <c r="C90" t="s">
        <v>640</v>
      </c>
      <c r="D90" t="s">
        <v>641</v>
      </c>
      <c r="E90" t="s">
        <v>642</v>
      </c>
      <c r="F90" t="s">
        <v>47</v>
      </c>
      <c r="I90" t="s">
        <v>233</v>
      </c>
      <c r="K90" s="2">
        <v>46210.555620567102</v>
      </c>
      <c r="L90" s="2">
        <v>46219.333346493098</v>
      </c>
      <c r="M90" t="s">
        <v>76</v>
      </c>
      <c r="N90" t="s">
        <v>77</v>
      </c>
      <c r="O90" t="s">
        <v>54</v>
      </c>
      <c r="P90" t="s">
        <v>55</v>
      </c>
      <c r="Q90" t="s">
        <v>218</v>
      </c>
      <c r="S90" t="s">
        <v>68</v>
      </c>
      <c r="V90" t="s">
        <v>59</v>
      </c>
      <c r="W90" t="s">
        <v>90</v>
      </c>
      <c r="X90" t="s">
        <v>61</v>
      </c>
      <c r="Y90" t="s">
        <v>47</v>
      </c>
      <c r="AA90" t="s">
        <v>643</v>
      </c>
      <c r="AF90" t="s">
        <v>245</v>
      </c>
      <c r="AI90" t="s">
        <v>359</v>
      </c>
      <c r="AJ90" t="s">
        <v>68</v>
      </c>
      <c r="AK90" t="s">
        <v>82</v>
      </c>
      <c r="AL90" t="s">
        <v>70</v>
      </c>
      <c r="AM90">
        <v>7</v>
      </c>
      <c r="AN90">
        <v>2026</v>
      </c>
      <c r="AO90" t="s">
        <v>71</v>
      </c>
      <c r="AP90">
        <v>16</v>
      </c>
      <c r="AQ90" t="s">
        <v>71</v>
      </c>
    </row>
    <row r="91" spans="1:43" x14ac:dyDescent="0.25">
      <c r="A91">
        <v>90</v>
      </c>
      <c r="B91" t="s">
        <v>229</v>
      </c>
      <c r="C91" t="s">
        <v>644</v>
      </c>
      <c r="D91" t="s">
        <v>645</v>
      </c>
      <c r="E91" t="s">
        <v>646</v>
      </c>
      <c r="F91" t="s">
        <v>47</v>
      </c>
      <c r="I91" t="s">
        <v>233</v>
      </c>
      <c r="K91" s="2">
        <v>46210.660467789297</v>
      </c>
      <c r="L91" s="2">
        <v>46219.333346493098</v>
      </c>
      <c r="M91" t="s">
        <v>76</v>
      </c>
      <c r="N91" t="s">
        <v>77</v>
      </c>
      <c r="O91" t="s">
        <v>54</v>
      </c>
      <c r="P91" t="s">
        <v>55</v>
      </c>
      <c r="Q91" t="s">
        <v>154</v>
      </c>
      <c r="S91" t="s">
        <v>68</v>
      </c>
      <c r="V91" t="s">
        <v>59</v>
      </c>
      <c r="W91" t="s">
        <v>90</v>
      </c>
      <c r="X91" t="s">
        <v>61</v>
      </c>
      <c r="Y91" t="s">
        <v>47</v>
      </c>
      <c r="AA91" t="s">
        <v>647</v>
      </c>
      <c r="AF91" t="s">
        <v>245</v>
      </c>
      <c r="AI91" t="s">
        <v>648</v>
      </c>
      <c r="AJ91" t="s">
        <v>68</v>
      </c>
      <c r="AK91" t="s">
        <v>82</v>
      </c>
      <c r="AL91" t="s">
        <v>70</v>
      </c>
      <c r="AM91">
        <v>7</v>
      </c>
      <c r="AN91">
        <v>2026</v>
      </c>
      <c r="AO91" t="s">
        <v>71</v>
      </c>
      <c r="AP91">
        <v>16</v>
      </c>
      <c r="AQ91" t="s">
        <v>71</v>
      </c>
    </row>
    <row r="92" spans="1:43" x14ac:dyDescent="0.25">
      <c r="A92">
        <v>91</v>
      </c>
      <c r="B92" t="s">
        <v>141</v>
      </c>
      <c r="C92" t="s">
        <v>649</v>
      </c>
      <c r="D92" t="s">
        <v>650</v>
      </c>
      <c r="E92" t="s">
        <v>651</v>
      </c>
      <c r="F92" t="s">
        <v>47</v>
      </c>
      <c r="I92" t="s">
        <v>145</v>
      </c>
      <c r="K92" s="2">
        <v>46210.544156284697</v>
      </c>
      <c r="L92" s="2">
        <v>46218.333372604196</v>
      </c>
      <c r="M92" t="s">
        <v>76</v>
      </c>
      <c r="N92" t="s">
        <v>77</v>
      </c>
      <c r="O92" t="s">
        <v>54</v>
      </c>
      <c r="P92" t="s">
        <v>55</v>
      </c>
      <c r="Q92" t="s">
        <v>405</v>
      </c>
      <c r="S92" t="s">
        <v>68</v>
      </c>
      <c r="V92" t="s">
        <v>59</v>
      </c>
      <c r="W92" t="s">
        <v>90</v>
      </c>
      <c r="X92" t="s">
        <v>61</v>
      </c>
      <c r="Y92" t="s">
        <v>47</v>
      </c>
      <c r="AA92" t="s">
        <v>652</v>
      </c>
      <c r="AF92" t="s">
        <v>653</v>
      </c>
      <c r="AI92" t="s">
        <v>654</v>
      </c>
      <c r="AJ92" t="s">
        <v>68</v>
      </c>
      <c r="AK92" t="s">
        <v>82</v>
      </c>
      <c r="AL92" t="s">
        <v>70</v>
      </c>
      <c r="AM92">
        <v>7</v>
      </c>
      <c r="AN92">
        <v>2026</v>
      </c>
      <c r="AO92" t="s">
        <v>71</v>
      </c>
      <c r="AP92">
        <v>15</v>
      </c>
      <c r="AQ92" t="s">
        <v>71</v>
      </c>
    </row>
    <row r="93" spans="1:43" x14ac:dyDescent="0.25">
      <c r="A93">
        <v>92</v>
      </c>
      <c r="B93" t="s">
        <v>379</v>
      </c>
      <c r="C93" t="s">
        <v>655</v>
      </c>
      <c r="D93" t="s">
        <v>656</v>
      </c>
      <c r="E93" t="s">
        <v>657</v>
      </c>
      <c r="F93" t="s">
        <v>47</v>
      </c>
      <c r="G93" t="s">
        <v>658</v>
      </c>
      <c r="H93" t="s">
        <v>659</v>
      </c>
      <c r="I93" t="s">
        <v>660</v>
      </c>
      <c r="J93" t="s">
        <v>295</v>
      </c>
      <c r="K93" s="2">
        <v>46210.356279664396</v>
      </c>
      <c r="L93" s="2">
        <v>46211.610899502302</v>
      </c>
      <c r="M93" t="s">
        <v>52</v>
      </c>
      <c r="N93" t="s">
        <v>53</v>
      </c>
      <c r="O93" t="s">
        <v>54</v>
      </c>
      <c r="P93" t="s">
        <v>55</v>
      </c>
      <c r="Q93" t="s">
        <v>218</v>
      </c>
      <c r="R93" t="s">
        <v>57</v>
      </c>
      <c r="S93" t="s">
        <v>58</v>
      </c>
      <c r="V93" t="s">
        <v>59</v>
      </c>
      <c r="W93" t="s">
        <v>90</v>
      </c>
      <c r="X93" t="s">
        <v>61</v>
      </c>
      <c r="Y93" t="s">
        <v>47</v>
      </c>
      <c r="Z93" t="s">
        <v>186</v>
      </c>
      <c r="AA93" t="s">
        <v>661</v>
      </c>
      <c r="AB93">
        <v>114406000</v>
      </c>
      <c r="AC93" t="s">
        <v>58</v>
      </c>
      <c r="AD93" s="2">
        <v>46211</v>
      </c>
      <c r="AE93" t="s">
        <v>662</v>
      </c>
      <c r="AF93" t="s">
        <v>92</v>
      </c>
      <c r="AG93" t="s">
        <v>66</v>
      </c>
      <c r="AI93" t="s">
        <v>663</v>
      </c>
      <c r="AJ93" t="s">
        <v>68</v>
      </c>
      <c r="AK93" t="s">
        <v>69</v>
      </c>
      <c r="AL93" t="s">
        <v>70</v>
      </c>
      <c r="AM93">
        <v>7</v>
      </c>
      <c r="AN93">
        <v>2026</v>
      </c>
      <c r="AO93" t="s">
        <v>71</v>
      </c>
      <c r="AP93">
        <v>8</v>
      </c>
      <c r="AQ93" t="s">
        <v>71</v>
      </c>
    </row>
    <row r="94" spans="1:43" x14ac:dyDescent="0.25">
      <c r="A94">
        <v>93</v>
      </c>
      <c r="B94" t="s">
        <v>664</v>
      </c>
      <c r="C94" t="s">
        <v>665</v>
      </c>
      <c r="D94" t="s">
        <v>666</v>
      </c>
      <c r="E94" t="s">
        <v>667</v>
      </c>
      <c r="F94" t="s">
        <v>47</v>
      </c>
      <c r="G94" t="s">
        <v>668</v>
      </c>
      <c r="H94" t="s">
        <v>669</v>
      </c>
      <c r="I94" t="s">
        <v>670</v>
      </c>
      <c r="J94" t="s">
        <v>51</v>
      </c>
      <c r="K94" s="2">
        <v>46210.419440358797</v>
      </c>
      <c r="L94" s="2">
        <v>46212.602643865699</v>
      </c>
      <c r="M94" t="s">
        <v>52</v>
      </c>
      <c r="N94" t="s">
        <v>53</v>
      </c>
      <c r="O94" t="s">
        <v>54</v>
      </c>
      <c r="P94" t="s">
        <v>55</v>
      </c>
      <c r="Q94" t="s">
        <v>113</v>
      </c>
      <c r="R94" t="s">
        <v>671</v>
      </c>
      <c r="S94" t="s">
        <v>58</v>
      </c>
      <c r="V94" t="s">
        <v>59</v>
      </c>
      <c r="W94" t="s">
        <v>90</v>
      </c>
      <c r="X94" t="s">
        <v>61</v>
      </c>
      <c r="Y94" t="s">
        <v>47</v>
      </c>
      <c r="Z94" t="s">
        <v>62</v>
      </c>
      <c r="AA94" t="s">
        <v>672</v>
      </c>
      <c r="AB94">
        <v>113115000</v>
      </c>
      <c r="AC94" t="s">
        <v>58</v>
      </c>
      <c r="AD94" s="2">
        <v>46212</v>
      </c>
      <c r="AE94" t="s">
        <v>673</v>
      </c>
      <c r="AF94" t="s">
        <v>245</v>
      </c>
      <c r="AG94" t="s">
        <v>66</v>
      </c>
      <c r="AI94" t="s">
        <v>674</v>
      </c>
      <c r="AJ94" t="s">
        <v>68</v>
      </c>
      <c r="AK94" t="s">
        <v>69</v>
      </c>
      <c r="AL94" t="s">
        <v>70</v>
      </c>
      <c r="AM94">
        <v>7</v>
      </c>
      <c r="AN94">
        <v>2026</v>
      </c>
      <c r="AO94" t="s">
        <v>71</v>
      </c>
      <c r="AP94">
        <v>9</v>
      </c>
      <c r="AQ94" t="s">
        <v>71</v>
      </c>
    </row>
    <row r="95" spans="1:43" x14ac:dyDescent="0.25">
      <c r="A95">
        <v>94</v>
      </c>
      <c r="B95" t="s">
        <v>675</v>
      </c>
      <c r="C95" t="s">
        <v>676</v>
      </c>
      <c r="D95" t="s">
        <v>677</v>
      </c>
      <c r="E95" t="s">
        <v>678</v>
      </c>
      <c r="F95" t="s">
        <v>274</v>
      </c>
      <c r="I95" t="s">
        <v>679</v>
      </c>
      <c r="K95" s="2">
        <v>46210.487512534703</v>
      </c>
      <c r="L95" s="2">
        <v>46218.333372604196</v>
      </c>
      <c r="M95" t="s">
        <v>76</v>
      </c>
      <c r="N95" t="s">
        <v>77</v>
      </c>
      <c r="O95" t="s">
        <v>54</v>
      </c>
      <c r="P95" t="s">
        <v>160</v>
      </c>
      <c r="Q95" t="s">
        <v>405</v>
      </c>
      <c r="S95" t="s">
        <v>68</v>
      </c>
      <c r="V95" t="s">
        <v>59</v>
      </c>
      <c r="W95" t="s">
        <v>90</v>
      </c>
      <c r="X95" t="s">
        <v>61</v>
      </c>
      <c r="Y95" t="s">
        <v>274</v>
      </c>
      <c r="AA95" t="s">
        <v>680</v>
      </c>
      <c r="AF95" t="s">
        <v>681</v>
      </c>
      <c r="AK95" t="s">
        <v>82</v>
      </c>
      <c r="AL95" t="s">
        <v>277</v>
      </c>
      <c r="AM95">
        <v>7</v>
      </c>
      <c r="AN95">
        <v>2026</v>
      </c>
      <c r="AO95" t="s">
        <v>71</v>
      </c>
      <c r="AP95">
        <v>15</v>
      </c>
      <c r="AQ95" t="s">
        <v>71</v>
      </c>
    </row>
    <row r="96" spans="1:43" x14ac:dyDescent="0.25">
      <c r="A96">
        <v>95</v>
      </c>
      <c r="B96" t="s">
        <v>43</v>
      </c>
      <c r="C96" t="s">
        <v>682</v>
      </c>
      <c r="D96" t="s">
        <v>683</v>
      </c>
      <c r="E96" t="s">
        <v>684</v>
      </c>
      <c r="F96" t="s">
        <v>47</v>
      </c>
      <c r="I96" t="s">
        <v>50</v>
      </c>
      <c r="K96" s="2">
        <v>46211.412158483799</v>
      </c>
      <c r="L96" s="2">
        <v>46211.423777465301</v>
      </c>
      <c r="M96" t="s">
        <v>76</v>
      </c>
      <c r="N96" t="s">
        <v>77</v>
      </c>
      <c r="O96" t="s">
        <v>54</v>
      </c>
      <c r="P96" t="s">
        <v>174</v>
      </c>
      <c r="Q96" t="s">
        <v>113</v>
      </c>
      <c r="R96" t="s">
        <v>57</v>
      </c>
      <c r="S96" t="s">
        <v>68</v>
      </c>
      <c r="V96" t="s">
        <v>59</v>
      </c>
      <c r="W96" t="s">
        <v>60</v>
      </c>
      <c r="X96" t="s">
        <v>61</v>
      </c>
      <c r="Y96" t="s">
        <v>47</v>
      </c>
      <c r="AA96" t="s">
        <v>685</v>
      </c>
      <c r="AF96" t="s">
        <v>65</v>
      </c>
      <c r="AI96" t="s">
        <v>686</v>
      </c>
      <c r="AJ96" t="s">
        <v>68</v>
      </c>
      <c r="AK96" t="s">
        <v>82</v>
      </c>
      <c r="AL96" t="s">
        <v>70</v>
      </c>
      <c r="AM96">
        <v>8</v>
      </c>
      <c r="AN96">
        <v>2026</v>
      </c>
      <c r="AO96" t="s">
        <v>71</v>
      </c>
      <c r="AP96">
        <v>8</v>
      </c>
      <c r="AQ96" t="s">
        <v>71</v>
      </c>
    </row>
    <row r="97" spans="1:43" x14ac:dyDescent="0.25">
      <c r="A97">
        <v>96</v>
      </c>
      <c r="B97" t="s">
        <v>43</v>
      </c>
      <c r="C97" t="s">
        <v>687</v>
      </c>
      <c r="D97" t="s">
        <v>688</v>
      </c>
      <c r="E97" t="s">
        <v>689</v>
      </c>
      <c r="F97" t="s">
        <v>47</v>
      </c>
      <c r="I97" t="s">
        <v>50</v>
      </c>
      <c r="K97" s="2">
        <v>46211.414488506904</v>
      </c>
      <c r="L97" s="2">
        <v>46219.333346493098</v>
      </c>
      <c r="M97" t="s">
        <v>76</v>
      </c>
      <c r="N97" t="s">
        <v>77</v>
      </c>
      <c r="O97" t="s">
        <v>54</v>
      </c>
      <c r="P97" t="s">
        <v>55</v>
      </c>
      <c r="Q97" t="s">
        <v>113</v>
      </c>
      <c r="S97" t="s">
        <v>68</v>
      </c>
      <c r="V97" t="s">
        <v>59</v>
      </c>
      <c r="W97" t="s">
        <v>60</v>
      </c>
      <c r="X97" t="s">
        <v>61</v>
      </c>
      <c r="Y97" t="s">
        <v>47</v>
      </c>
      <c r="AA97" t="s">
        <v>690</v>
      </c>
      <c r="AF97" t="s">
        <v>65</v>
      </c>
      <c r="AI97" t="s">
        <v>686</v>
      </c>
      <c r="AJ97" t="s">
        <v>68</v>
      </c>
      <c r="AK97" t="s">
        <v>82</v>
      </c>
      <c r="AL97" t="s">
        <v>70</v>
      </c>
      <c r="AM97">
        <v>8</v>
      </c>
      <c r="AN97">
        <v>2026</v>
      </c>
      <c r="AO97" t="s">
        <v>71</v>
      </c>
      <c r="AP97">
        <v>16</v>
      </c>
      <c r="AQ97" t="s">
        <v>71</v>
      </c>
    </row>
    <row r="98" spans="1:43" x14ac:dyDescent="0.25">
      <c r="A98">
        <v>97</v>
      </c>
      <c r="B98" t="s">
        <v>43</v>
      </c>
      <c r="C98" t="s">
        <v>691</v>
      </c>
      <c r="D98" t="s">
        <v>692</v>
      </c>
      <c r="E98" t="s">
        <v>693</v>
      </c>
      <c r="F98" t="s">
        <v>47</v>
      </c>
      <c r="I98" t="s">
        <v>50</v>
      </c>
      <c r="K98" s="2">
        <v>46211.439078124997</v>
      </c>
      <c r="L98" s="2">
        <v>46219.333346493098</v>
      </c>
      <c r="M98" t="s">
        <v>76</v>
      </c>
      <c r="N98" t="s">
        <v>77</v>
      </c>
      <c r="O98" t="s">
        <v>54</v>
      </c>
      <c r="P98" t="s">
        <v>55</v>
      </c>
      <c r="Q98" t="s">
        <v>161</v>
      </c>
      <c r="S98" t="s">
        <v>68</v>
      </c>
      <c r="V98" t="s">
        <v>59</v>
      </c>
      <c r="W98" t="s">
        <v>60</v>
      </c>
      <c r="X98" t="s">
        <v>61</v>
      </c>
      <c r="Y98" t="s">
        <v>47</v>
      </c>
      <c r="AA98" t="s">
        <v>694</v>
      </c>
      <c r="AF98" t="s">
        <v>65</v>
      </c>
      <c r="AI98" t="s">
        <v>695</v>
      </c>
      <c r="AJ98" t="s">
        <v>68</v>
      </c>
      <c r="AK98" t="s">
        <v>82</v>
      </c>
      <c r="AL98" t="s">
        <v>70</v>
      </c>
      <c r="AM98">
        <v>8</v>
      </c>
      <c r="AN98">
        <v>2026</v>
      </c>
      <c r="AO98" t="s">
        <v>71</v>
      </c>
      <c r="AP98">
        <v>16</v>
      </c>
      <c r="AQ98" t="s">
        <v>71</v>
      </c>
    </row>
    <row r="99" spans="1:43" x14ac:dyDescent="0.25">
      <c r="A99">
        <v>98</v>
      </c>
      <c r="B99" t="s">
        <v>43</v>
      </c>
      <c r="C99" t="s">
        <v>696</v>
      </c>
      <c r="D99" t="s">
        <v>697</v>
      </c>
      <c r="E99" t="s">
        <v>698</v>
      </c>
      <c r="F99" t="s">
        <v>47</v>
      </c>
      <c r="G99" t="s">
        <v>699</v>
      </c>
      <c r="H99" t="s">
        <v>700</v>
      </c>
      <c r="I99" t="s">
        <v>50</v>
      </c>
      <c r="J99" t="s">
        <v>295</v>
      </c>
      <c r="K99" s="2">
        <v>46211.552883101896</v>
      </c>
      <c r="L99" s="2">
        <v>46214.478939317101</v>
      </c>
      <c r="M99" t="s">
        <v>52</v>
      </c>
      <c r="N99" t="s">
        <v>53</v>
      </c>
      <c r="O99" t="s">
        <v>54</v>
      </c>
      <c r="P99" t="s">
        <v>78</v>
      </c>
      <c r="Q99" t="s">
        <v>126</v>
      </c>
      <c r="R99" t="s">
        <v>57</v>
      </c>
      <c r="S99" t="s">
        <v>58</v>
      </c>
      <c r="V99" t="s">
        <v>59</v>
      </c>
      <c r="W99" t="s">
        <v>60</v>
      </c>
      <c r="X99" t="s">
        <v>61</v>
      </c>
      <c r="Y99" t="s">
        <v>47</v>
      </c>
      <c r="Z99" t="s">
        <v>186</v>
      </c>
      <c r="AA99" t="s">
        <v>701</v>
      </c>
      <c r="AB99">
        <v>32625500</v>
      </c>
      <c r="AC99" t="s">
        <v>58</v>
      </c>
      <c r="AD99" s="2">
        <v>46214</v>
      </c>
      <c r="AE99" t="s">
        <v>702</v>
      </c>
      <c r="AF99" t="s">
        <v>65</v>
      </c>
      <c r="AG99" t="s">
        <v>66</v>
      </c>
      <c r="AI99" t="s">
        <v>686</v>
      </c>
      <c r="AJ99" t="s">
        <v>68</v>
      </c>
      <c r="AK99" t="s">
        <v>69</v>
      </c>
      <c r="AL99" t="s">
        <v>70</v>
      </c>
      <c r="AM99">
        <v>8</v>
      </c>
      <c r="AN99">
        <v>2026</v>
      </c>
      <c r="AO99" t="s">
        <v>71</v>
      </c>
      <c r="AP99">
        <v>11</v>
      </c>
      <c r="AQ99" t="s">
        <v>71</v>
      </c>
    </row>
    <row r="100" spans="1:43" x14ac:dyDescent="0.25">
      <c r="A100">
        <v>99</v>
      </c>
      <c r="B100" t="s">
        <v>43</v>
      </c>
      <c r="C100" t="s">
        <v>703</v>
      </c>
      <c r="D100" t="s">
        <v>704</v>
      </c>
      <c r="E100" t="s">
        <v>705</v>
      </c>
      <c r="F100" t="s">
        <v>47</v>
      </c>
      <c r="H100" t="s">
        <v>706</v>
      </c>
      <c r="I100" t="s">
        <v>50</v>
      </c>
      <c r="J100" t="s">
        <v>51</v>
      </c>
      <c r="K100" s="2">
        <v>46211.647965127297</v>
      </c>
      <c r="L100" s="2">
        <v>46214.516936111097</v>
      </c>
      <c r="M100" t="s">
        <v>241</v>
      </c>
      <c r="N100" t="s">
        <v>242</v>
      </c>
      <c r="O100" t="s">
        <v>54</v>
      </c>
      <c r="P100" t="s">
        <v>55</v>
      </c>
      <c r="Q100" t="s">
        <v>113</v>
      </c>
      <c r="R100" t="s">
        <v>707</v>
      </c>
      <c r="S100" t="s">
        <v>58</v>
      </c>
      <c r="V100" t="s">
        <v>59</v>
      </c>
      <c r="W100" t="s">
        <v>60</v>
      </c>
      <c r="X100" t="s">
        <v>61</v>
      </c>
      <c r="Y100" t="s">
        <v>47</v>
      </c>
      <c r="Z100" t="s">
        <v>62</v>
      </c>
      <c r="AA100" t="s">
        <v>708</v>
      </c>
      <c r="AC100" t="s">
        <v>58</v>
      </c>
      <c r="AD100" s="2">
        <v>46214</v>
      </c>
      <c r="AE100" t="s">
        <v>709</v>
      </c>
      <c r="AF100" t="s">
        <v>709</v>
      </c>
      <c r="AG100" t="s">
        <v>246</v>
      </c>
      <c r="AI100" t="s">
        <v>686</v>
      </c>
      <c r="AJ100" t="s">
        <v>68</v>
      </c>
      <c r="AK100" t="s">
        <v>248</v>
      </c>
      <c r="AL100" t="s">
        <v>70</v>
      </c>
      <c r="AM100">
        <v>8</v>
      </c>
      <c r="AN100">
        <v>2026</v>
      </c>
      <c r="AO100" t="s">
        <v>71</v>
      </c>
      <c r="AP100">
        <v>11</v>
      </c>
      <c r="AQ100" t="s">
        <v>71</v>
      </c>
    </row>
    <row r="101" spans="1:43" x14ac:dyDescent="0.25">
      <c r="A101">
        <v>100</v>
      </c>
      <c r="B101" t="s">
        <v>83</v>
      </c>
      <c r="C101" t="s">
        <v>710</v>
      </c>
      <c r="D101" t="s">
        <v>711</v>
      </c>
      <c r="E101" t="s">
        <v>712</v>
      </c>
      <c r="F101" t="s">
        <v>47</v>
      </c>
      <c r="I101" t="s">
        <v>193</v>
      </c>
      <c r="K101" s="2">
        <v>46211.480472569398</v>
      </c>
      <c r="L101" s="2">
        <v>46211.487087581001</v>
      </c>
      <c r="M101" t="s">
        <v>76</v>
      </c>
      <c r="N101" t="s">
        <v>77</v>
      </c>
      <c r="O101" t="s">
        <v>54</v>
      </c>
      <c r="P101" t="s">
        <v>55</v>
      </c>
      <c r="Q101" t="s">
        <v>621</v>
      </c>
      <c r="R101" t="s">
        <v>57</v>
      </c>
      <c r="S101" t="s">
        <v>68</v>
      </c>
      <c r="V101" t="s">
        <v>59</v>
      </c>
      <c r="W101" t="s">
        <v>90</v>
      </c>
      <c r="X101" t="s">
        <v>61</v>
      </c>
      <c r="Y101" t="s">
        <v>47</v>
      </c>
      <c r="AA101" t="s">
        <v>713</v>
      </c>
      <c r="AF101" t="s">
        <v>195</v>
      </c>
      <c r="AI101" t="s">
        <v>431</v>
      </c>
      <c r="AJ101" t="s">
        <v>68</v>
      </c>
      <c r="AK101" t="s">
        <v>82</v>
      </c>
      <c r="AL101" t="s">
        <v>70</v>
      </c>
      <c r="AM101">
        <v>8</v>
      </c>
      <c r="AN101">
        <v>2026</v>
      </c>
      <c r="AO101" t="s">
        <v>71</v>
      </c>
      <c r="AP101">
        <v>8</v>
      </c>
      <c r="AQ101" t="s">
        <v>71</v>
      </c>
    </row>
    <row r="102" spans="1:43" x14ac:dyDescent="0.25">
      <c r="A102">
        <v>101</v>
      </c>
      <c r="B102" t="s">
        <v>83</v>
      </c>
      <c r="C102" t="s">
        <v>714</v>
      </c>
      <c r="D102" t="s">
        <v>715</v>
      </c>
      <c r="E102" t="s">
        <v>716</v>
      </c>
      <c r="F102" t="s">
        <v>47</v>
      </c>
      <c r="I102" t="s">
        <v>87</v>
      </c>
      <c r="K102" s="2">
        <v>46211.574076585603</v>
      </c>
      <c r="L102" s="2">
        <v>46211.5869457523</v>
      </c>
      <c r="M102" t="s">
        <v>76</v>
      </c>
      <c r="N102" t="s">
        <v>77</v>
      </c>
      <c r="O102" t="s">
        <v>54</v>
      </c>
      <c r="P102" t="s">
        <v>55</v>
      </c>
      <c r="Q102" t="s">
        <v>126</v>
      </c>
      <c r="R102" t="s">
        <v>57</v>
      </c>
      <c r="S102" t="s">
        <v>68</v>
      </c>
      <c r="V102" t="s">
        <v>59</v>
      </c>
      <c r="W102" t="s">
        <v>90</v>
      </c>
      <c r="X102" t="s">
        <v>61</v>
      </c>
      <c r="Y102" t="s">
        <v>47</v>
      </c>
      <c r="AA102" t="s">
        <v>717</v>
      </c>
      <c r="AF102" t="s">
        <v>92</v>
      </c>
      <c r="AI102" t="s">
        <v>718</v>
      </c>
      <c r="AJ102" t="s">
        <v>68</v>
      </c>
      <c r="AK102" t="s">
        <v>82</v>
      </c>
      <c r="AL102" t="s">
        <v>70</v>
      </c>
      <c r="AM102">
        <v>8</v>
      </c>
      <c r="AN102">
        <v>2026</v>
      </c>
      <c r="AO102" t="s">
        <v>71</v>
      </c>
      <c r="AP102">
        <v>8</v>
      </c>
      <c r="AQ102" t="s">
        <v>71</v>
      </c>
    </row>
    <row r="103" spans="1:43" x14ac:dyDescent="0.25">
      <c r="A103">
        <v>102</v>
      </c>
      <c r="B103" t="s">
        <v>106</v>
      </c>
      <c r="C103" t="s">
        <v>719</v>
      </c>
      <c r="D103" t="s">
        <v>720</v>
      </c>
      <c r="E103" t="s">
        <v>721</v>
      </c>
      <c r="F103" t="s">
        <v>47</v>
      </c>
      <c r="I103" t="s">
        <v>112</v>
      </c>
      <c r="K103" s="2">
        <v>46211.415734722199</v>
      </c>
      <c r="L103" s="2">
        <v>46219.333346493098</v>
      </c>
      <c r="M103" t="s">
        <v>76</v>
      </c>
      <c r="N103" t="s">
        <v>77</v>
      </c>
      <c r="O103" t="s">
        <v>54</v>
      </c>
      <c r="P103" t="s">
        <v>55</v>
      </c>
      <c r="Q103" t="s">
        <v>113</v>
      </c>
      <c r="S103" t="s">
        <v>68</v>
      </c>
      <c r="V103" t="s">
        <v>59</v>
      </c>
      <c r="W103" t="s">
        <v>60</v>
      </c>
      <c r="X103" t="s">
        <v>61</v>
      </c>
      <c r="Y103" t="s">
        <v>47</v>
      </c>
      <c r="AA103" t="s">
        <v>722</v>
      </c>
      <c r="AF103" t="s">
        <v>117</v>
      </c>
      <c r="AI103" t="s">
        <v>617</v>
      </c>
      <c r="AJ103" t="s">
        <v>68</v>
      </c>
      <c r="AK103" t="s">
        <v>82</v>
      </c>
      <c r="AL103" t="s">
        <v>70</v>
      </c>
      <c r="AM103">
        <v>8</v>
      </c>
      <c r="AN103">
        <v>2026</v>
      </c>
      <c r="AO103" t="s">
        <v>71</v>
      </c>
      <c r="AP103">
        <v>16</v>
      </c>
      <c r="AQ103" t="s">
        <v>71</v>
      </c>
    </row>
    <row r="104" spans="1:43" x14ac:dyDescent="0.25">
      <c r="A104">
        <v>103</v>
      </c>
      <c r="B104" t="s">
        <v>106</v>
      </c>
      <c r="C104" t="s">
        <v>723</v>
      </c>
      <c r="D104" t="s">
        <v>724</v>
      </c>
      <c r="E104" t="s">
        <v>725</v>
      </c>
      <c r="F104" t="s">
        <v>47</v>
      </c>
      <c r="I104" t="s">
        <v>112</v>
      </c>
      <c r="K104" s="2">
        <v>46211.654248726903</v>
      </c>
      <c r="L104" s="2">
        <v>46219.333346493098</v>
      </c>
      <c r="M104" t="s">
        <v>76</v>
      </c>
      <c r="N104" t="s">
        <v>77</v>
      </c>
      <c r="O104" t="s">
        <v>54</v>
      </c>
      <c r="P104" t="s">
        <v>174</v>
      </c>
      <c r="Q104" t="s">
        <v>161</v>
      </c>
      <c r="S104" t="s">
        <v>68</v>
      </c>
      <c r="V104" t="s">
        <v>59</v>
      </c>
      <c r="W104" t="s">
        <v>60</v>
      </c>
      <c r="X104" t="s">
        <v>61</v>
      </c>
      <c r="Y104" t="s">
        <v>47</v>
      </c>
      <c r="AA104" t="s">
        <v>726</v>
      </c>
      <c r="AF104" t="s">
        <v>117</v>
      </c>
      <c r="AI104" t="s">
        <v>475</v>
      </c>
      <c r="AJ104" t="s">
        <v>68</v>
      </c>
      <c r="AK104" t="s">
        <v>82</v>
      </c>
      <c r="AL104" t="s">
        <v>70</v>
      </c>
      <c r="AM104">
        <v>8</v>
      </c>
      <c r="AN104">
        <v>2026</v>
      </c>
      <c r="AO104" t="s">
        <v>71</v>
      </c>
      <c r="AP104">
        <v>16</v>
      </c>
      <c r="AQ104" t="s">
        <v>71</v>
      </c>
    </row>
    <row r="105" spans="1:43" x14ac:dyDescent="0.25">
      <c r="A105">
        <v>104</v>
      </c>
      <c r="B105" t="s">
        <v>106</v>
      </c>
      <c r="C105" t="s">
        <v>727</v>
      </c>
      <c r="D105" t="s">
        <v>728</v>
      </c>
      <c r="E105" t="s">
        <v>729</v>
      </c>
      <c r="F105" t="s">
        <v>47</v>
      </c>
      <c r="I105" t="s">
        <v>112</v>
      </c>
      <c r="K105" s="2">
        <v>46211.707282870397</v>
      </c>
      <c r="L105" s="2">
        <v>46219.333346493098</v>
      </c>
      <c r="M105" t="s">
        <v>76</v>
      </c>
      <c r="N105" t="s">
        <v>77</v>
      </c>
      <c r="O105" t="s">
        <v>54</v>
      </c>
      <c r="P105" t="s">
        <v>88</v>
      </c>
      <c r="Q105" t="s">
        <v>175</v>
      </c>
      <c r="S105" t="s">
        <v>68</v>
      </c>
      <c r="V105" t="s">
        <v>59</v>
      </c>
      <c r="W105" t="s">
        <v>60</v>
      </c>
      <c r="X105" t="s">
        <v>61</v>
      </c>
      <c r="Y105" t="s">
        <v>47</v>
      </c>
      <c r="AA105" t="s">
        <v>730</v>
      </c>
      <c r="AF105" t="s">
        <v>117</v>
      </c>
      <c r="AI105" t="s">
        <v>617</v>
      </c>
      <c r="AJ105" t="s">
        <v>68</v>
      </c>
      <c r="AK105" t="s">
        <v>82</v>
      </c>
      <c r="AL105" t="s">
        <v>70</v>
      </c>
      <c r="AM105">
        <v>8</v>
      </c>
      <c r="AN105">
        <v>2026</v>
      </c>
      <c r="AO105" t="s">
        <v>71</v>
      </c>
      <c r="AP105">
        <v>16</v>
      </c>
      <c r="AQ105" t="s">
        <v>71</v>
      </c>
    </row>
    <row r="106" spans="1:43" x14ac:dyDescent="0.25">
      <c r="A106">
        <v>105</v>
      </c>
      <c r="B106" t="s">
        <v>213</v>
      </c>
      <c r="C106" t="s">
        <v>731</v>
      </c>
      <c r="D106" t="s">
        <v>732</v>
      </c>
      <c r="E106" t="s">
        <v>733</v>
      </c>
      <c r="F106" t="s">
        <v>47</v>
      </c>
      <c r="G106" t="s">
        <v>734</v>
      </c>
      <c r="H106" t="s">
        <v>735</v>
      </c>
      <c r="I106" t="s">
        <v>217</v>
      </c>
      <c r="J106" t="s">
        <v>295</v>
      </c>
      <c r="K106" s="2">
        <v>46211.649529201401</v>
      </c>
      <c r="L106" s="2">
        <v>46212.658809178203</v>
      </c>
      <c r="M106" t="s">
        <v>52</v>
      </c>
      <c r="N106" t="s">
        <v>53</v>
      </c>
      <c r="O106" t="s">
        <v>54</v>
      </c>
      <c r="P106" t="s">
        <v>55</v>
      </c>
      <c r="Q106" t="s">
        <v>405</v>
      </c>
      <c r="R106" t="s">
        <v>243</v>
      </c>
      <c r="S106" t="s">
        <v>58</v>
      </c>
      <c r="V106" t="s">
        <v>59</v>
      </c>
      <c r="W106" t="s">
        <v>90</v>
      </c>
      <c r="X106" t="s">
        <v>61</v>
      </c>
      <c r="Y106" t="s">
        <v>47</v>
      </c>
      <c r="Z106" t="s">
        <v>255</v>
      </c>
      <c r="AA106" t="s">
        <v>736</v>
      </c>
      <c r="AB106">
        <v>316347000</v>
      </c>
      <c r="AC106" t="s">
        <v>58</v>
      </c>
      <c r="AD106" s="2">
        <v>46212</v>
      </c>
      <c r="AE106" t="s">
        <v>737</v>
      </c>
      <c r="AF106" t="s">
        <v>738</v>
      </c>
      <c r="AG106" t="s">
        <v>66</v>
      </c>
      <c r="AI106" t="s">
        <v>739</v>
      </c>
      <c r="AJ106" t="s">
        <v>68</v>
      </c>
      <c r="AK106" t="s">
        <v>69</v>
      </c>
      <c r="AL106" t="s">
        <v>70</v>
      </c>
      <c r="AM106">
        <v>8</v>
      </c>
      <c r="AN106">
        <v>2026</v>
      </c>
      <c r="AO106" t="s">
        <v>71</v>
      </c>
      <c r="AP106">
        <v>9</v>
      </c>
      <c r="AQ106" t="s">
        <v>71</v>
      </c>
    </row>
    <row r="107" spans="1:43" x14ac:dyDescent="0.25">
      <c r="A107">
        <v>106</v>
      </c>
      <c r="B107" t="s">
        <v>345</v>
      </c>
      <c r="C107" t="s">
        <v>740</v>
      </c>
      <c r="D107" t="s">
        <v>741</v>
      </c>
      <c r="E107" t="s">
        <v>742</v>
      </c>
      <c r="F107" t="s">
        <v>47</v>
      </c>
      <c r="I107" t="s">
        <v>435</v>
      </c>
      <c r="K107" s="2">
        <v>46211.719268171299</v>
      </c>
      <c r="L107" s="2">
        <v>46219.333346493098</v>
      </c>
      <c r="M107" t="s">
        <v>76</v>
      </c>
      <c r="N107" t="s">
        <v>77</v>
      </c>
      <c r="O107" t="s">
        <v>54</v>
      </c>
      <c r="P107" t="s">
        <v>174</v>
      </c>
      <c r="Q107" t="s">
        <v>218</v>
      </c>
      <c r="S107" t="s">
        <v>68</v>
      </c>
      <c r="V107" t="s">
        <v>59</v>
      </c>
      <c r="W107" t="s">
        <v>90</v>
      </c>
      <c r="X107" t="s">
        <v>61</v>
      </c>
      <c r="Y107" t="s">
        <v>47</v>
      </c>
      <c r="AA107" t="s">
        <v>743</v>
      </c>
      <c r="AF107" t="s">
        <v>437</v>
      </c>
      <c r="AI107" t="s">
        <v>744</v>
      </c>
      <c r="AJ107" t="s">
        <v>68</v>
      </c>
      <c r="AK107" t="s">
        <v>82</v>
      </c>
      <c r="AL107" t="s">
        <v>70</v>
      </c>
      <c r="AM107">
        <v>8</v>
      </c>
      <c r="AN107">
        <v>2026</v>
      </c>
      <c r="AO107" t="s">
        <v>71</v>
      </c>
      <c r="AP107">
        <v>16</v>
      </c>
      <c r="AQ107" t="s">
        <v>71</v>
      </c>
    </row>
    <row r="108" spans="1:43" x14ac:dyDescent="0.25">
      <c r="A108">
        <v>107</v>
      </c>
      <c r="B108" t="s">
        <v>345</v>
      </c>
      <c r="C108" t="s">
        <v>745</v>
      </c>
      <c r="D108" t="s">
        <v>746</v>
      </c>
      <c r="E108" t="s">
        <v>747</v>
      </c>
      <c r="F108" t="s">
        <v>47</v>
      </c>
      <c r="I108" t="s">
        <v>351</v>
      </c>
      <c r="K108" s="2">
        <v>46211.997856562499</v>
      </c>
      <c r="L108" s="2">
        <v>46220.333345717598</v>
      </c>
      <c r="M108" t="s">
        <v>76</v>
      </c>
      <c r="N108" t="s">
        <v>77</v>
      </c>
      <c r="O108" t="s">
        <v>54</v>
      </c>
      <c r="P108" t="s">
        <v>78</v>
      </c>
      <c r="Q108" t="s">
        <v>185</v>
      </c>
      <c r="S108" t="s">
        <v>68</v>
      </c>
      <c r="V108" t="s">
        <v>59</v>
      </c>
      <c r="W108" t="s">
        <v>90</v>
      </c>
      <c r="X108" t="s">
        <v>61</v>
      </c>
      <c r="Y108" t="s">
        <v>47</v>
      </c>
      <c r="AA108" t="s">
        <v>748</v>
      </c>
      <c r="AF108" t="s">
        <v>117</v>
      </c>
      <c r="AI108" t="s">
        <v>749</v>
      </c>
      <c r="AJ108" t="s">
        <v>68</v>
      </c>
      <c r="AK108" t="s">
        <v>82</v>
      </c>
      <c r="AL108" t="s">
        <v>70</v>
      </c>
      <c r="AM108">
        <v>8</v>
      </c>
      <c r="AN108">
        <v>2026</v>
      </c>
      <c r="AO108" t="s">
        <v>71</v>
      </c>
      <c r="AP108">
        <v>17</v>
      </c>
      <c r="AQ108" t="s">
        <v>71</v>
      </c>
    </row>
    <row r="109" spans="1:43" x14ac:dyDescent="0.25">
      <c r="A109">
        <v>108</v>
      </c>
      <c r="B109" t="s">
        <v>229</v>
      </c>
      <c r="C109" t="s">
        <v>750</v>
      </c>
      <c r="D109" t="s">
        <v>751</v>
      </c>
      <c r="E109" t="s">
        <v>752</v>
      </c>
      <c r="F109" t="s">
        <v>47</v>
      </c>
      <c r="I109" t="s">
        <v>233</v>
      </c>
      <c r="K109" s="2">
        <v>46211.521892789402</v>
      </c>
      <c r="L109" s="2">
        <v>46212.305633252297</v>
      </c>
      <c r="M109" t="s">
        <v>76</v>
      </c>
      <c r="N109" t="s">
        <v>77</v>
      </c>
      <c r="O109" t="s">
        <v>54</v>
      </c>
      <c r="P109" t="s">
        <v>174</v>
      </c>
      <c r="Q109" t="s">
        <v>161</v>
      </c>
      <c r="R109" t="s">
        <v>57</v>
      </c>
      <c r="S109" t="s">
        <v>68</v>
      </c>
      <c r="V109" t="s">
        <v>59</v>
      </c>
      <c r="W109" t="s">
        <v>90</v>
      </c>
      <c r="X109" t="s">
        <v>61</v>
      </c>
      <c r="Y109" t="s">
        <v>47</v>
      </c>
      <c r="AA109" t="s">
        <v>753</v>
      </c>
      <c r="AF109" t="s">
        <v>245</v>
      </c>
      <c r="AI109" t="s">
        <v>754</v>
      </c>
      <c r="AJ109" t="s">
        <v>68</v>
      </c>
      <c r="AK109" t="s">
        <v>82</v>
      </c>
      <c r="AL109" t="s">
        <v>70</v>
      </c>
      <c r="AM109">
        <v>8</v>
      </c>
      <c r="AN109">
        <v>2026</v>
      </c>
      <c r="AO109" t="s">
        <v>71</v>
      </c>
      <c r="AP109">
        <v>9</v>
      </c>
      <c r="AQ109" t="s">
        <v>71</v>
      </c>
    </row>
    <row r="110" spans="1:43" x14ac:dyDescent="0.25">
      <c r="A110">
        <v>109</v>
      </c>
      <c r="B110" t="s">
        <v>229</v>
      </c>
      <c r="C110" t="s">
        <v>755</v>
      </c>
      <c r="D110" t="s">
        <v>756</v>
      </c>
      <c r="E110" t="s">
        <v>757</v>
      </c>
      <c r="F110" t="s">
        <v>47</v>
      </c>
      <c r="I110" t="s">
        <v>233</v>
      </c>
      <c r="K110" s="2">
        <v>46211.702295023097</v>
      </c>
      <c r="L110" s="2">
        <v>46212.302233449103</v>
      </c>
      <c r="M110" t="s">
        <v>76</v>
      </c>
      <c r="N110" t="s">
        <v>77</v>
      </c>
      <c r="O110" t="s">
        <v>54</v>
      </c>
      <c r="P110" t="s">
        <v>55</v>
      </c>
      <c r="Q110" t="s">
        <v>154</v>
      </c>
      <c r="R110" t="s">
        <v>57</v>
      </c>
      <c r="S110" t="s">
        <v>68</v>
      </c>
      <c r="V110" t="s">
        <v>59</v>
      </c>
      <c r="W110" t="s">
        <v>90</v>
      </c>
      <c r="X110" t="s">
        <v>61</v>
      </c>
      <c r="Y110" t="s">
        <v>47</v>
      </c>
      <c r="AA110" t="s">
        <v>758</v>
      </c>
      <c r="AF110" t="s">
        <v>245</v>
      </c>
      <c r="AI110" t="s">
        <v>648</v>
      </c>
      <c r="AJ110" t="s">
        <v>68</v>
      </c>
      <c r="AK110" t="s">
        <v>82</v>
      </c>
      <c r="AL110" t="s">
        <v>70</v>
      </c>
      <c r="AM110">
        <v>8</v>
      </c>
      <c r="AN110">
        <v>2026</v>
      </c>
      <c r="AO110" t="s">
        <v>71</v>
      </c>
      <c r="AP110">
        <v>9</v>
      </c>
      <c r="AQ110" t="s">
        <v>71</v>
      </c>
    </row>
    <row r="111" spans="1:43" x14ac:dyDescent="0.25">
      <c r="A111">
        <v>110</v>
      </c>
      <c r="B111" t="s">
        <v>229</v>
      </c>
      <c r="C111" t="s">
        <v>759</v>
      </c>
      <c r="D111" t="s">
        <v>760</v>
      </c>
      <c r="E111" t="s">
        <v>761</v>
      </c>
      <c r="F111" t="s">
        <v>47</v>
      </c>
      <c r="H111" t="s">
        <v>762</v>
      </c>
      <c r="I111" t="s">
        <v>233</v>
      </c>
      <c r="J111" t="s">
        <v>51</v>
      </c>
      <c r="K111" s="2">
        <v>46211.782961226898</v>
      </c>
      <c r="L111" s="2">
        <v>46222.323447650502</v>
      </c>
      <c r="M111" t="s">
        <v>763</v>
      </c>
      <c r="N111" t="s">
        <v>764</v>
      </c>
      <c r="O111" t="s">
        <v>54</v>
      </c>
      <c r="P111" t="s">
        <v>55</v>
      </c>
      <c r="Q111" t="s">
        <v>535</v>
      </c>
      <c r="R111" t="s">
        <v>243</v>
      </c>
      <c r="S111" t="s">
        <v>58</v>
      </c>
      <c r="V111" t="s">
        <v>59</v>
      </c>
      <c r="W111" t="s">
        <v>90</v>
      </c>
      <c r="X111" t="s">
        <v>61</v>
      </c>
      <c r="Y111" t="s">
        <v>47</v>
      </c>
      <c r="Z111" t="s">
        <v>176</v>
      </c>
      <c r="AA111" t="s">
        <v>765</v>
      </c>
      <c r="AC111" t="s">
        <v>58</v>
      </c>
      <c r="AD111" s="2">
        <v>46220</v>
      </c>
      <c r="AE111" t="s">
        <v>245</v>
      </c>
      <c r="AF111" t="s">
        <v>245</v>
      </c>
      <c r="AG111" t="s">
        <v>246</v>
      </c>
      <c r="AI111" t="s">
        <v>537</v>
      </c>
      <c r="AJ111" t="s">
        <v>68</v>
      </c>
      <c r="AK111" t="s">
        <v>82</v>
      </c>
      <c r="AL111" t="s">
        <v>70</v>
      </c>
      <c r="AM111">
        <v>8</v>
      </c>
      <c r="AN111">
        <v>2026</v>
      </c>
      <c r="AO111" t="s">
        <v>71</v>
      </c>
      <c r="AP111">
        <v>19</v>
      </c>
      <c r="AQ111" t="s">
        <v>71</v>
      </c>
    </row>
    <row r="112" spans="1:43" x14ac:dyDescent="0.25">
      <c r="A112">
        <v>111</v>
      </c>
      <c r="B112" t="s">
        <v>263</v>
      </c>
      <c r="C112" t="s">
        <v>766</v>
      </c>
      <c r="D112" t="s">
        <v>767</v>
      </c>
      <c r="E112" t="s">
        <v>768</v>
      </c>
      <c r="F112" t="s">
        <v>47</v>
      </c>
      <c r="H112" t="s">
        <v>769</v>
      </c>
      <c r="I112" t="s">
        <v>267</v>
      </c>
      <c r="J112" t="s">
        <v>295</v>
      </c>
      <c r="K112" s="2">
        <v>46211.495287812497</v>
      </c>
      <c r="L112" s="2">
        <v>46221.923862731499</v>
      </c>
      <c r="M112" t="s">
        <v>241</v>
      </c>
      <c r="N112" t="s">
        <v>242</v>
      </c>
      <c r="O112" t="s">
        <v>54</v>
      </c>
      <c r="P112" t="s">
        <v>174</v>
      </c>
      <c r="Q112" t="s">
        <v>147</v>
      </c>
      <c r="R112" t="s">
        <v>57</v>
      </c>
      <c r="S112" t="s">
        <v>58</v>
      </c>
      <c r="V112" t="s">
        <v>59</v>
      </c>
      <c r="W112" t="s">
        <v>90</v>
      </c>
      <c r="X112" t="s">
        <v>61</v>
      </c>
      <c r="Y112" t="s">
        <v>47</v>
      </c>
      <c r="Z112" t="s">
        <v>255</v>
      </c>
      <c r="AA112" t="s">
        <v>770</v>
      </c>
      <c r="AC112" t="s">
        <v>58</v>
      </c>
      <c r="AD112" s="2">
        <v>46220</v>
      </c>
      <c r="AE112" t="s">
        <v>92</v>
      </c>
      <c r="AF112" t="s">
        <v>92</v>
      </c>
      <c r="AG112" t="s">
        <v>365</v>
      </c>
      <c r="AI112" t="s">
        <v>771</v>
      </c>
      <c r="AJ112" t="s">
        <v>68</v>
      </c>
      <c r="AK112" t="s">
        <v>248</v>
      </c>
      <c r="AL112" t="s">
        <v>70</v>
      </c>
      <c r="AM112">
        <v>8</v>
      </c>
      <c r="AN112">
        <v>2026</v>
      </c>
      <c r="AO112" t="s">
        <v>71</v>
      </c>
      <c r="AP112">
        <v>18</v>
      </c>
      <c r="AQ112" t="s">
        <v>71</v>
      </c>
    </row>
    <row r="113" spans="1:43" x14ac:dyDescent="0.25">
      <c r="A113">
        <v>112</v>
      </c>
      <c r="B113" t="s">
        <v>263</v>
      </c>
      <c r="C113" t="s">
        <v>772</v>
      </c>
      <c r="D113" t="s">
        <v>773</v>
      </c>
      <c r="E113" t="s">
        <v>774</v>
      </c>
      <c r="F113" t="s">
        <v>47</v>
      </c>
      <c r="I113" t="s">
        <v>267</v>
      </c>
      <c r="K113" s="2">
        <v>46211.694906099503</v>
      </c>
      <c r="L113" s="2">
        <v>46219.333346493098</v>
      </c>
      <c r="M113" t="s">
        <v>76</v>
      </c>
      <c r="N113" t="s">
        <v>77</v>
      </c>
      <c r="O113" t="s">
        <v>54</v>
      </c>
      <c r="P113" t="s">
        <v>88</v>
      </c>
      <c r="Q113" t="s">
        <v>405</v>
      </c>
      <c r="S113" t="s">
        <v>68</v>
      </c>
      <c r="V113" t="s">
        <v>59</v>
      </c>
      <c r="W113" t="s">
        <v>90</v>
      </c>
      <c r="X113" t="s">
        <v>61</v>
      </c>
      <c r="Y113" t="s">
        <v>47</v>
      </c>
      <c r="AA113" t="s">
        <v>775</v>
      </c>
      <c r="AF113" t="s">
        <v>92</v>
      </c>
      <c r="AI113" t="s">
        <v>776</v>
      </c>
      <c r="AJ113" t="s">
        <v>68</v>
      </c>
      <c r="AK113" t="s">
        <v>82</v>
      </c>
      <c r="AL113" t="s">
        <v>70</v>
      </c>
      <c r="AM113">
        <v>8</v>
      </c>
      <c r="AN113">
        <v>2026</v>
      </c>
      <c r="AO113" t="s">
        <v>71</v>
      </c>
      <c r="AP113">
        <v>16</v>
      </c>
      <c r="AQ113" t="s">
        <v>71</v>
      </c>
    </row>
    <row r="114" spans="1:43" x14ac:dyDescent="0.25">
      <c r="A114">
        <v>113</v>
      </c>
      <c r="B114" t="s">
        <v>263</v>
      </c>
      <c r="C114" t="s">
        <v>777</v>
      </c>
      <c r="D114" t="s">
        <v>778</v>
      </c>
      <c r="E114" t="s">
        <v>779</v>
      </c>
      <c r="F114" t="s">
        <v>47</v>
      </c>
      <c r="I114" t="s">
        <v>267</v>
      </c>
      <c r="K114" s="2">
        <v>46211.773947071801</v>
      </c>
      <c r="L114" s="2">
        <v>46211.7813403935</v>
      </c>
      <c r="M114" t="s">
        <v>76</v>
      </c>
      <c r="N114" t="s">
        <v>77</v>
      </c>
      <c r="O114" t="s">
        <v>54</v>
      </c>
      <c r="P114" t="s">
        <v>55</v>
      </c>
      <c r="Q114" t="s">
        <v>126</v>
      </c>
      <c r="R114" t="s">
        <v>57</v>
      </c>
      <c r="S114" t="s">
        <v>68</v>
      </c>
      <c r="V114" t="s">
        <v>59</v>
      </c>
      <c r="W114" t="s">
        <v>90</v>
      </c>
      <c r="X114" t="s">
        <v>61</v>
      </c>
      <c r="Y114" t="s">
        <v>47</v>
      </c>
      <c r="AA114" t="s">
        <v>780</v>
      </c>
      <c r="AF114" t="s">
        <v>92</v>
      </c>
      <c r="AI114" t="s">
        <v>567</v>
      </c>
      <c r="AJ114" t="s">
        <v>68</v>
      </c>
      <c r="AK114" t="s">
        <v>82</v>
      </c>
      <c r="AL114" t="s">
        <v>70</v>
      </c>
      <c r="AM114">
        <v>8</v>
      </c>
      <c r="AN114">
        <v>2026</v>
      </c>
      <c r="AO114" t="s">
        <v>71</v>
      </c>
      <c r="AP114">
        <v>8</v>
      </c>
      <c r="AQ114" t="s">
        <v>71</v>
      </c>
    </row>
    <row r="115" spans="1:43" x14ac:dyDescent="0.25">
      <c r="A115">
        <v>114</v>
      </c>
      <c r="B115" t="s">
        <v>263</v>
      </c>
      <c r="C115" t="s">
        <v>781</v>
      </c>
      <c r="D115" t="s">
        <v>782</v>
      </c>
      <c r="E115" t="s">
        <v>783</v>
      </c>
      <c r="F115" t="s">
        <v>47</v>
      </c>
      <c r="G115" t="s">
        <v>784</v>
      </c>
      <c r="H115" t="s">
        <v>785</v>
      </c>
      <c r="I115" t="s">
        <v>267</v>
      </c>
      <c r="J115" t="s">
        <v>51</v>
      </c>
      <c r="K115" s="2">
        <v>46211.780216666702</v>
      </c>
      <c r="L115" s="2">
        <v>46218.418248460701</v>
      </c>
      <c r="M115" t="s">
        <v>52</v>
      </c>
      <c r="N115" t="s">
        <v>53</v>
      </c>
      <c r="O115" t="s">
        <v>54</v>
      </c>
      <c r="P115" t="s">
        <v>55</v>
      </c>
      <c r="Q115" t="s">
        <v>185</v>
      </c>
      <c r="R115" t="s">
        <v>57</v>
      </c>
      <c r="S115" t="s">
        <v>58</v>
      </c>
      <c r="V115" t="s">
        <v>59</v>
      </c>
      <c r="W115" t="s">
        <v>90</v>
      </c>
      <c r="X115" t="s">
        <v>61</v>
      </c>
      <c r="Y115" t="s">
        <v>47</v>
      </c>
      <c r="Z115" t="s">
        <v>62</v>
      </c>
      <c r="AA115" t="s">
        <v>786</v>
      </c>
      <c r="AB115">
        <v>211319660</v>
      </c>
      <c r="AC115" t="s">
        <v>58</v>
      </c>
      <c r="AD115" s="2">
        <v>46217</v>
      </c>
      <c r="AE115" t="s">
        <v>787</v>
      </c>
      <c r="AF115" t="s">
        <v>92</v>
      </c>
      <c r="AG115" t="s">
        <v>66</v>
      </c>
      <c r="AI115" t="s">
        <v>567</v>
      </c>
      <c r="AJ115" t="s">
        <v>68</v>
      </c>
      <c r="AK115" t="s">
        <v>69</v>
      </c>
      <c r="AL115" t="s">
        <v>70</v>
      </c>
      <c r="AM115">
        <v>8</v>
      </c>
      <c r="AN115">
        <v>2026</v>
      </c>
      <c r="AO115" t="s">
        <v>71</v>
      </c>
      <c r="AP115">
        <v>15</v>
      </c>
      <c r="AQ115" t="s">
        <v>71</v>
      </c>
    </row>
    <row r="116" spans="1:43" x14ac:dyDescent="0.25">
      <c r="A116">
        <v>115</v>
      </c>
      <c r="B116" t="s">
        <v>400</v>
      </c>
      <c r="C116" t="s">
        <v>788</v>
      </c>
      <c r="D116" t="s">
        <v>789</v>
      </c>
      <c r="E116" t="s">
        <v>790</v>
      </c>
      <c r="F116" t="s">
        <v>75</v>
      </c>
      <c r="I116" t="s">
        <v>404</v>
      </c>
      <c r="K116" s="2">
        <v>46211.376435729202</v>
      </c>
      <c r="L116" s="2">
        <v>46219.333346493098</v>
      </c>
      <c r="M116" t="s">
        <v>76</v>
      </c>
      <c r="N116" t="s">
        <v>77</v>
      </c>
      <c r="O116" t="s">
        <v>54</v>
      </c>
      <c r="P116" t="s">
        <v>55</v>
      </c>
      <c r="Q116" t="s">
        <v>535</v>
      </c>
      <c r="S116" t="s">
        <v>68</v>
      </c>
      <c r="V116" t="s">
        <v>59</v>
      </c>
      <c r="W116" t="s">
        <v>90</v>
      </c>
      <c r="X116" t="s">
        <v>61</v>
      </c>
      <c r="Y116" t="s">
        <v>75</v>
      </c>
      <c r="AA116" t="s">
        <v>791</v>
      </c>
      <c r="AF116" t="s">
        <v>792</v>
      </c>
      <c r="AK116" t="s">
        <v>82</v>
      </c>
      <c r="AL116" t="s">
        <v>70</v>
      </c>
      <c r="AM116">
        <v>8</v>
      </c>
      <c r="AN116">
        <v>2026</v>
      </c>
      <c r="AO116" t="s">
        <v>71</v>
      </c>
      <c r="AP116">
        <v>16</v>
      </c>
      <c r="AQ116" t="s">
        <v>71</v>
      </c>
    </row>
    <row r="117" spans="1:43" x14ac:dyDescent="0.25">
      <c r="A117">
        <v>116</v>
      </c>
      <c r="B117" t="s">
        <v>278</v>
      </c>
      <c r="C117" t="s">
        <v>793</v>
      </c>
      <c r="D117" t="s">
        <v>794</v>
      </c>
      <c r="E117" t="s">
        <v>795</v>
      </c>
      <c r="F117" t="s">
        <v>47</v>
      </c>
      <c r="H117" t="s">
        <v>796</v>
      </c>
      <c r="I117" t="s">
        <v>284</v>
      </c>
      <c r="J117" t="s">
        <v>51</v>
      </c>
      <c r="K117" s="2">
        <v>46211.692019826398</v>
      </c>
      <c r="L117" s="2">
        <v>46216.377029942101</v>
      </c>
      <c r="M117" t="s">
        <v>241</v>
      </c>
      <c r="N117" t="s">
        <v>242</v>
      </c>
      <c r="O117" t="s">
        <v>54</v>
      </c>
      <c r="P117" t="s">
        <v>174</v>
      </c>
      <c r="Q117" t="s">
        <v>185</v>
      </c>
      <c r="R117" t="s">
        <v>286</v>
      </c>
      <c r="S117" t="s">
        <v>58</v>
      </c>
      <c r="V117" t="s">
        <v>59</v>
      </c>
      <c r="W117" t="s">
        <v>90</v>
      </c>
      <c r="X117" t="s">
        <v>61</v>
      </c>
      <c r="Y117" t="s">
        <v>47</v>
      </c>
      <c r="Z117" t="s">
        <v>114</v>
      </c>
      <c r="AA117" t="s">
        <v>797</v>
      </c>
      <c r="AC117" t="s">
        <v>58</v>
      </c>
      <c r="AD117" s="2">
        <v>46214</v>
      </c>
      <c r="AE117" t="s">
        <v>798</v>
      </c>
      <c r="AF117" t="s">
        <v>593</v>
      </c>
      <c r="AG117" t="s">
        <v>246</v>
      </c>
      <c r="AI117" t="s">
        <v>799</v>
      </c>
      <c r="AJ117" t="s">
        <v>68</v>
      </c>
      <c r="AK117" t="s">
        <v>248</v>
      </c>
      <c r="AL117" t="s">
        <v>70</v>
      </c>
      <c r="AM117">
        <v>8</v>
      </c>
      <c r="AN117">
        <v>2026</v>
      </c>
      <c r="AO117" t="s">
        <v>71</v>
      </c>
      <c r="AP117">
        <v>13</v>
      </c>
      <c r="AQ117" t="s">
        <v>71</v>
      </c>
    </row>
    <row r="118" spans="1:43" x14ac:dyDescent="0.25">
      <c r="A118">
        <v>117</v>
      </c>
      <c r="B118" t="s">
        <v>43</v>
      </c>
      <c r="C118" t="s">
        <v>800</v>
      </c>
      <c r="D118" t="s">
        <v>801</v>
      </c>
      <c r="E118" t="s">
        <v>802</v>
      </c>
      <c r="F118" t="s">
        <v>47</v>
      </c>
      <c r="G118" t="s">
        <v>803</v>
      </c>
      <c r="H118" t="s">
        <v>804</v>
      </c>
      <c r="I118" t="s">
        <v>50</v>
      </c>
      <c r="J118" t="s">
        <v>51</v>
      </c>
      <c r="K118" s="2">
        <v>46212.627884571797</v>
      </c>
      <c r="L118" s="2">
        <v>46218.356136261602</v>
      </c>
      <c r="M118" t="s">
        <v>52</v>
      </c>
      <c r="N118" t="s">
        <v>53</v>
      </c>
      <c r="O118" t="s">
        <v>54</v>
      </c>
      <c r="P118" t="s">
        <v>55</v>
      </c>
      <c r="Q118" t="s">
        <v>126</v>
      </c>
      <c r="R118" t="s">
        <v>707</v>
      </c>
      <c r="S118" t="s">
        <v>481</v>
      </c>
      <c r="V118" t="s">
        <v>59</v>
      </c>
      <c r="W118" t="s">
        <v>60</v>
      </c>
      <c r="X118" t="s">
        <v>61</v>
      </c>
      <c r="Y118" t="s">
        <v>47</v>
      </c>
      <c r="Z118" t="s">
        <v>114</v>
      </c>
      <c r="AA118" t="s">
        <v>805</v>
      </c>
      <c r="AB118">
        <v>120000250</v>
      </c>
      <c r="AC118" t="s">
        <v>481</v>
      </c>
      <c r="AD118" s="2">
        <v>46217</v>
      </c>
      <c r="AE118" t="s">
        <v>806</v>
      </c>
      <c r="AF118" t="s">
        <v>806</v>
      </c>
      <c r="AG118" t="s">
        <v>66</v>
      </c>
      <c r="AI118" t="s">
        <v>67</v>
      </c>
      <c r="AJ118" t="s">
        <v>68</v>
      </c>
      <c r="AK118" t="s">
        <v>69</v>
      </c>
      <c r="AL118" t="s">
        <v>70</v>
      </c>
      <c r="AM118">
        <v>9</v>
      </c>
      <c r="AN118">
        <v>2026</v>
      </c>
      <c r="AO118" t="s">
        <v>71</v>
      </c>
      <c r="AP118">
        <v>15</v>
      </c>
      <c r="AQ118" t="s">
        <v>71</v>
      </c>
    </row>
    <row r="119" spans="1:43" x14ac:dyDescent="0.25">
      <c r="A119">
        <v>118</v>
      </c>
      <c r="B119" t="s">
        <v>83</v>
      </c>
      <c r="C119" t="s">
        <v>807</v>
      </c>
      <c r="D119" t="s">
        <v>808</v>
      </c>
      <c r="E119" t="s">
        <v>809</v>
      </c>
      <c r="F119" t="s">
        <v>47</v>
      </c>
      <c r="I119" t="s">
        <v>87</v>
      </c>
      <c r="K119" s="2">
        <v>46212.5615630787</v>
      </c>
      <c r="L119" s="2">
        <v>46220.333345717598</v>
      </c>
      <c r="M119" t="s">
        <v>76</v>
      </c>
      <c r="N119" t="s">
        <v>77</v>
      </c>
      <c r="O119" t="s">
        <v>54</v>
      </c>
      <c r="P119" t="s">
        <v>55</v>
      </c>
      <c r="Q119" t="s">
        <v>56</v>
      </c>
      <c r="S119" t="s">
        <v>68</v>
      </c>
      <c r="V119" t="s">
        <v>59</v>
      </c>
      <c r="W119" t="s">
        <v>90</v>
      </c>
      <c r="X119" t="s">
        <v>61</v>
      </c>
      <c r="Y119" t="s">
        <v>47</v>
      </c>
      <c r="AA119" t="s">
        <v>810</v>
      </c>
      <c r="AF119" t="s">
        <v>92</v>
      </c>
      <c r="AI119" t="s">
        <v>811</v>
      </c>
      <c r="AJ119" t="s">
        <v>68</v>
      </c>
      <c r="AK119" t="s">
        <v>82</v>
      </c>
      <c r="AL119" t="s">
        <v>70</v>
      </c>
      <c r="AM119">
        <v>9</v>
      </c>
      <c r="AN119">
        <v>2026</v>
      </c>
      <c r="AO119" t="s">
        <v>71</v>
      </c>
      <c r="AP119">
        <v>17</v>
      </c>
      <c r="AQ119" t="s">
        <v>71</v>
      </c>
    </row>
    <row r="120" spans="1:43" x14ac:dyDescent="0.25">
      <c r="A120">
        <v>119</v>
      </c>
      <c r="B120" t="s">
        <v>83</v>
      </c>
      <c r="C120" t="s">
        <v>812</v>
      </c>
      <c r="D120" t="s">
        <v>813</v>
      </c>
      <c r="E120" t="s">
        <v>814</v>
      </c>
      <c r="F120" t="s">
        <v>47</v>
      </c>
      <c r="I120" t="s">
        <v>87</v>
      </c>
      <c r="K120" s="2">
        <v>46212.663653900498</v>
      </c>
      <c r="L120" s="2">
        <v>46212.7299213773</v>
      </c>
      <c r="M120" t="s">
        <v>76</v>
      </c>
      <c r="N120" t="s">
        <v>77</v>
      </c>
      <c r="O120" t="s">
        <v>54</v>
      </c>
      <c r="P120" t="s">
        <v>815</v>
      </c>
      <c r="Q120" t="s">
        <v>175</v>
      </c>
      <c r="R120" t="s">
        <v>57</v>
      </c>
      <c r="S120" t="s">
        <v>68</v>
      </c>
      <c r="V120" t="s">
        <v>59</v>
      </c>
      <c r="W120" t="s">
        <v>90</v>
      </c>
      <c r="X120" t="s">
        <v>61</v>
      </c>
      <c r="Y120" t="s">
        <v>47</v>
      </c>
      <c r="AA120" t="s">
        <v>816</v>
      </c>
      <c r="AF120" t="s">
        <v>92</v>
      </c>
      <c r="AI120" t="s">
        <v>817</v>
      </c>
      <c r="AJ120" t="s">
        <v>68</v>
      </c>
      <c r="AK120" t="s">
        <v>82</v>
      </c>
      <c r="AL120" t="s">
        <v>70</v>
      </c>
      <c r="AM120">
        <v>9</v>
      </c>
      <c r="AN120">
        <v>2026</v>
      </c>
      <c r="AO120" t="s">
        <v>71</v>
      </c>
      <c r="AP120">
        <v>9</v>
      </c>
      <c r="AQ120" t="s">
        <v>71</v>
      </c>
    </row>
    <row r="121" spans="1:43" x14ac:dyDescent="0.25">
      <c r="A121">
        <v>120</v>
      </c>
      <c r="B121" t="s">
        <v>83</v>
      </c>
      <c r="C121" t="s">
        <v>818</v>
      </c>
      <c r="D121" t="s">
        <v>819</v>
      </c>
      <c r="E121" t="s">
        <v>820</v>
      </c>
      <c r="F121" t="s">
        <v>47</v>
      </c>
      <c r="I121" t="s">
        <v>87</v>
      </c>
      <c r="K121" s="2">
        <v>46212.668562615698</v>
      </c>
      <c r="L121" s="2">
        <v>46220.333345717598</v>
      </c>
      <c r="M121" t="s">
        <v>76</v>
      </c>
      <c r="N121" t="s">
        <v>77</v>
      </c>
      <c r="O121" t="s">
        <v>54</v>
      </c>
      <c r="P121" t="s">
        <v>815</v>
      </c>
      <c r="Q121" t="s">
        <v>175</v>
      </c>
      <c r="S121" t="s">
        <v>68</v>
      </c>
      <c r="V121" t="s">
        <v>59</v>
      </c>
      <c r="W121" t="s">
        <v>90</v>
      </c>
      <c r="X121" t="s">
        <v>61</v>
      </c>
      <c r="Y121" t="s">
        <v>47</v>
      </c>
      <c r="AA121" t="s">
        <v>816</v>
      </c>
      <c r="AF121" t="s">
        <v>92</v>
      </c>
      <c r="AI121" t="s">
        <v>817</v>
      </c>
      <c r="AJ121" t="s">
        <v>68</v>
      </c>
      <c r="AK121" t="s">
        <v>82</v>
      </c>
      <c r="AL121" t="s">
        <v>70</v>
      </c>
      <c r="AM121">
        <v>9</v>
      </c>
      <c r="AN121">
        <v>2026</v>
      </c>
      <c r="AO121" t="s">
        <v>71</v>
      </c>
      <c r="AP121">
        <v>17</v>
      </c>
      <c r="AQ121" t="s">
        <v>71</v>
      </c>
    </row>
    <row r="122" spans="1:43" x14ac:dyDescent="0.25">
      <c r="A122">
        <v>121</v>
      </c>
      <c r="B122" t="s">
        <v>83</v>
      </c>
      <c r="C122" t="s">
        <v>821</v>
      </c>
      <c r="D122" t="s">
        <v>822</v>
      </c>
      <c r="E122" t="s">
        <v>823</v>
      </c>
      <c r="F122" t="s">
        <v>47</v>
      </c>
      <c r="I122" t="s">
        <v>193</v>
      </c>
      <c r="K122" s="2">
        <v>46212.744696562499</v>
      </c>
      <c r="L122" s="2">
        <v>46220.333345717598</v>
      </c>
      <c r="M122" t="s">
        <v>76</v>
      </c>
      <c r="N122" t="s">
        <v>77</v>
      </c>
      <c r="O122" t="s">
        <v>54</v>
      </c>
      <c r="P122" t="s">
        <v>88</v>
      </c>
      <c r="Q122" t="s">
        <v>161</v>
      </c>
      <c r="S122" t="s">
        <v>68</v>
      </c>
      <c r="V122" t="s">
        <v>59</v>
      </c>
      <c r="W122" t="s">
        <v>90</v>
      </c>
      <c r="X122" t="s">
        <v>61</v>
      </c>
      <c r="Y122" t="s">
        <v>47</v>
      </c>
      <c r="AA122" t="s">
        <v>824</v>
      </c>
      <c r="AF122" t="s">
        <v>195</v>
      </c>
      <c r="AI122" t="s">
        <v>496</v>
      </c>
      <c r="AJ122" t="s">
        <v>68</v>
      </c>
      <c r="AK122" t="s">
        <v>82</v>
      </c>
      <c r="AL122" t="s">
        <v>70</v>
      </c>
      <c r="AM122">
        <v>9</v>
      </c>
      <c r="AN122">
        <v>2026</v>
      </c>
      <c r="AO122" t="s">
        <v>71</v>
      </c>
      <c r="AP122">
        <v>17</v>
      </c>
      <c r="AQ122" t="s">
        <v>71</v>
      </c>
    </row>
    <row r="123" spans="1:43" x14ac:dyDescent="0.25">
      <c r="A123">
        <v>122</v>
      </c>
      <c r="B123" t="s">
        <v>83</v>
      </c>
      <c r="C123" t="s">
        <v>825</v>
      </c>
      <c r="D123" t="s">
        <v>826</v>
      </c>
      <c r="E123" t="s">
        <v>827</v>
      </c>
      <c r="F123" t="s">
        <v>47</v>
      </c>
      <c r="I123" t="s">
        <v>193</v>
      </c>
      <c r="K123" s="2">
        <v>46212.7679663542</v>
      </c>
      <c r="L123" s="2">
        <v>46220.333345717598</v>
      </c>
      <c r="M123" t="s">
        <v>76</v>
      </c>
      <c r="N123" t="s">
        <v>77</v>
      </c>
      <c r="O123" t="s">
        <v>54</v>
      </c>
      <c r="P123" t="s">
        <v>88</v>
      </c>
      <c r="Q123" t="s">
        <v>218</v>
      </c>
      <c r="S123" t="s">
        <v>68</v>
      </c>
      <c r="V123" t="s">
        <v>59</v>
      </c>
      <c r="W123" t="s">
        <v>90</v>
      </c>
      <c r="X123" t="s">
        <v>61</v>
      </c>
      <c r="Y123" t="s">
        <v>47</v>
      </c>
      <c r="AA123" t="s">
        <v>828</v>
      </c>
      <c r="AF123" t="s">
        <v>195</v>
      </c>
      <c r="AI123" t="s">
        <v>426</v>
      </c>
      <c r="AJ123" t="s">
        <v>68</v>
      </c>
      <c r="AK123" t="s">
        <v>82</v>
      </c>
      <c r="AL123" t="s">
        <v>70</v>
      </c>
      <c r="AM123">
        <v>9</v>
      </c>
      <c r="AN123">
        <v>2026</v>
      </c>
      <c r="AO123" t="s">
        <v>71</v>
      </c>
      <c r="AP123">
        <v>17</v>
      </c>
      <c r="AQ123" t="s">
        <v>71</v>
      </c>
    </row>
    <row r="124" spans="1:43" x14ac:dyDescent="0.25">
      <c r="A124">
        <v>123</v>
      </c>
      <c r="B124" t="s">
        <v>829</v>
      </c>
      <c r="C124" t="s">
        <v>830</v>
      </c>
      <c r="D124" t="s">
        <v>831</v>
      </c>
      <c r="E124" t="s">
        <v>832</v>
      </c>
      <c r="F124" t="s">
        <v>47</v>
      </c>
      <c r="I124" t="s">
        <v>833</v>
      </c>
      <c r="K124" s="2">
        <v>46212.650647569397</v>
      </c>
      <c r="L124" s="2">
        <v>46212.729858136598</v>
      </c>
      <c r="M124" t="s">
        <v>76</v>
      </c>
      <c r="N124" t="s">
        <v>77</v>
      </c>
      <c r="O124" t="s">
        <v>54</v>
      </c>
      <c r="P124" t="s">
        <v>160</v>
      </c>
      <c r="Q124" t="s">
        <v>113</v>
      </c>
      <c r="R124" t="s">
        <v>57</v>
      </c>
      <c r="S124" t="s">
        <v>68</v>
      </c>
      <c r="V124" t="s">
        <v>59</v>
      </c>
      <c r="W124" t="s">
        <v>90</v>
      </c>
      <c r="X124" t="s">
        <v>61</v>
      </c>
      <c r="Y124" t="s">
        <v>47</v>
      </c>
      <c r="AA124" t="s">
        <v>834</v>
      </c>
      <c r="AF124" t="s">
        <v>92</v>
      </c>
      <c r="AI124" t="s">
        <v>835</v>
      </c>
      <c r="AJ124" t="s">
        <v>68</v>
      </c>
      <c r="AK124" t="s">
        <v>82</v>
      </c>
      <c r="AL124" t="s">
        <v>70</v>
      </c>
      <c r="AM124">
        <v>9</v>
      </c>
      <c r="AN124">
        <v>2026</v>
      </c>
      <c r="AO124" t="s">
        <v>71</v>
      </c>
      <c r="AP124">
        <v>9</v>
      </c>
      <c r="AQ124" t="s">
        <v>71</v>
      </c>
    </row>
    <row r="125" spans="1:43" x14ac:dyDescent="0.25">
      <c r="A125">
        <v>124</v>
      </c>
      <c r="B125" t="s">
        <v>99</v>
      </c>
      <c r="C125" t="s">
        <v>836</v>
      </c>
      <c r="D125" t="s">
        <v>837</v>
      </c>
      <c r="E125" t="s">
        <v>838</v>
      </c>
      <c r="F125" t="s">
        <v>47</v>
      </c>
      <c r="I125" t="s">
        <v>839</v>
      </c>
      <c r="K125" s="2">
        <v>46212.350813576399</v>
      </c>
      <c r="L125" s="2">
        <v>46220.333345717598</v>
      </c>
      <c r="M125" t="s">
        <v>76</v>
      </c>
      <c r="N125" t="s">
        <v>77</v>
      </c>
      <c r="O125" t="s">
        <v>54</v>
      </c>
      <c r="P125" t="s">
        <v>840</v>
      </c>
      <c r="Q125" t="s">
        <v>154</v>
      </c>
      <c r="S125" t="s">
        <v>68</v>
      </c>
      <c r="V125" t="s">
        <v>59</v>
      </c>
      <c r="W125" t="s">
        <v>90</v>
      </c>
      <c r="X125" t="s">
        <v>61</v>
      </c>
      <c r="Y125" t="s">
        <v>47</v>
      </c>
      <c r="AA125" t="s">
        <v>841</v>
      </c>
      <c r="AF125" t="s">
        <v>92</v>
      </c>
      <c r="AI125" t="s">
        <v>842</v>
      </c>
      <c r="AJ125" t="s">
        <v>68</v>
      </c>
      <c r="AK125" t="s">
        <v>82</v>
      </c>
      <c r="AL125" t="s">
        <v>70</v>
      </c>
      <c r="AM125">
        <v>9</v>
      </c>
      <c r="AN125">
        <v>2026</v>
      </c>
      <c r="AO125" t="s">
        <v>71</v>
      </c>
      <c r="AP125">
        <v>17</v>
      </c>
      <c r="AQ125" t="s">
        <v>71</v>
      </c>
    </row>
    <row r="126" spans="1:43" x14ac:dyDescent="0.25">
      <c r="A126">
        <v>125</v>
      </c>
      <c r="B126" t="s">
        <v>106</v>
      </c>
      <c r="C126" t="s">
        <v>843</v>
      </c>
      <c r="D126" t="s">
        <v>844</v>
      </c>
      <c r="E126" t="s">
        <v>845</v>
      </c>
      <c r="F126" t="s">
        <v>47</v>
      </c>
      <c r="I126" t="s">
        <v>112</v>
      </c>
      <c r="K126" s="2">
        <v>46212.4140857292</v>
      </c>
      <c r="L126" s="2">
        <v>46220.333345717598</v>
      </c>
      <c r="M126" t="s">
        <v>76</v>
      </c>
      <c r="N126" t="s">
        <v>77</v>
      </c>
      <c r="O126" t="s">
        <v>54</v>
      </c>
      <c r="P126" t="s">
        <v>160</v>
      </c>
      <c r="Q126" t="s">
        <v>147</v>
      </c>
      <c r="S126" t="s">
        <v>68</v>
      </c>
      <c r="V126" t="s">
        <v>59</v>
      </c>
      <c r="W126" t="s">
        <v>60</v>
      </c>
      <c r="X126" t="s">
        <v>61</v>
      </c>
      <c r="Y126" t="s">
        <v>47</v>
      </c>
      <c r="AA126" t="s">
        <v>846</v>
      </c>
      <c r="AF126" t="s">
        <v>117</v>
      </c>
      <c r="AI126" t="s">
        <v>128</v>
      </c>
      <c r="AJ126" t="s">
        <v>68</v>
      </c>
      <c r="AK126" t="s">
        <v>82</v>
      </c>
      <c r="AL126" t="s">
        <v>70</v>
      </c>
      <c r="AM126">
        <v>9</v>
      </c>
      <c r="AN126">
        <v>2026</v>
      </c>
      <c r="AO126" t="s">
        <v>71</v>
      </c>
      <c r="AP126">
        <v>17</v>
      </c>
      <c r="AQ126" t="s">
        <v>71</v>
      </c>
    </row>
    <row r="127" spans="1:43" x14ac:dyDescent="0.25">
      <c r="A127">
        <v>126</v>
      </c>
      <c r="B127" t="s">
        <v>106</v>
      </c>
      <c r="C127" t="s">
        <v>847</v>
      </c>
      <c r="D127" t="s">
        <v>848</v>
      </c>
      <c r="E127" t="s">
        <v>849</v>
      </c>
      <c r="F127" t="s">
        <v>47</v>
      </c>
      <c r="I127" t="s">
        <v>112</v>
      </c>
      <c r="K127" s="2">
        <v>46212.417388854199</v>
      </c>
      <c r="L127" s="2">
        <v>46212.434102233798</v>
      </c>
      <c r="M127" t="s">
        <v>76</v>
      </c>
      <c r="N127" t="s">
        <v>77</v>
      </c>
      <c r="O127" t="s">
        <v>54</v>
      </c>
      <c r="P127" t="s">
        <v>55</v>
      </c>
      <c r="Q127" t="s">
        <v>621</v>
      </c>
      <c r="R127" t="s">
        <v>57</v>
      </c>
      <c r="S127" t="s">
        <v>68</v>
      </c>
      <c r="V127" t="s">
        <v>59</v>
      </c>
      <c r="W127" t="s">
        <v>60</v>
      </c>
      <c r="X127" t="s">
        <v>61</v>
      </c>
      <c r="Y127" t="s">
        <v>47</v>
      </c>
      <c r="AA127" t="s">
        <v>850</v>
      </c>
      <c r="AF127" t="s">
        <v>117</v>
      </c>
      <c r="AI127" t="s">
        <v>851</v>
      </c>
      <c r="AJ127" t="s">
        <v>68</v>
      </c>
      <c r="AK127" t="s">
        <v>82</v>
      </c>
      <c r="AL127" t="s">
        <v>70</v>
      </c>
      <c r="AM127">
        <v>9</v>
      </c>
      <c r="AN127">
        <v>2026</v>
      </c>
      <c r="AO127" t="s">
        <v>71</v>
      </c>
      <c r="AP127">
        <v>9</v>
      </c>
      <c r="AQ127" t="s">
        <v>71</v>
      </c>
    </row>
    <row r="128" spans="1:43" x14ac:dyDescent="0.25">
      <c r="A128">
        <v>127</v>
      </c>
      <c r="B128" t="s">
        <v>106</v>
      </c>
      <c r="C128" t="s">
        <v>852</v>
      </c>
      <c r="D128" t="s">
        <v>853</v>
      </c>
      <c r="E128" t="s">
        <v>854</v>
      </c>
      <c r="F128" t="s">
        <v>47</v>
      </c>
      <c r="I128" t="s">
        <v>112</v>
      </c>
      <c r="K128" s="2">
        <v>46212.420321261598</v>
      </c>
      <c r="L128" s="2">
        <v>46220.333345717598</v>
      </c>
      <c r="M128" t="s">
        <v>76</v>
      </c>
      <c r="N128" t="s">
        <v>77</v>
      </c>
      <c r="O128" t="s">
        <v>54</v>
      </c>
      <c r="P128" t="s">
        <v>855</v>
      </c>
      <c r="Q128" t="s">
        <v>89</v>
      </c>
      <c r="S128" t="s">
        <v>68</v>
      </c>
      <c r="V128" t="s">
        <v>59</v>
      </c>
      <c r="W128" t="s">
        <v>60</v>
      </c>
      <c r="X128" t="s">
        <v>61</v>
      </c>
      <c r="Y128" t="s">
        <v>47</v>
      </c>
      <c r="AA128" t="s">
        <v>856</v>
      </c>
      <c r="AF128" t="s">
        <v>117</v>
      </c>
      <c r="AI128" t="s">
        <v>475</v>
      </c>
      <c r="AJ128" t="s">
        <v>68</v>
      </c>
      <c r="AK128" t="s">
        <v>82</v>
      </c>
      <c r="AL128" t="s">
        <v>70</v>
      </c>
      <c r="AM128">
        <v>9</v>
      </c>
      <c r="AN128">
        <v>2026</v>
      </c>
      <c r="AO128" t="s">
        <v>71</v>
      </c>
      <c r="AP128">
        <v>17</v>
      </c>
      <c r="AQ128" t="s">
        <v>71</v>
      </c>
    </row>
    <row r="129" spans="1:43" x14ac:dyDescent="0.25">
      <c r="A129">
        <v>128</v>
      </c>
      <c r="B129" t="s">
        <v>106</v>
      </c>
      <c r="C129" t="s">
        <v>857</v>
      </c>
      <c r="D129" t="s">
        <v>858</v>
      </c>
      <c r="E129" t="s">
        <v>859</v>
      </c>
      <c r="F129" t="s">
        <v>47</v>
      </c>
      <c r="I129" t="s">
        <v>112</v>
      </c>
      <c r="K129" s="2">
        <v>46212.517253935199</v>
      </c>
      <c r="L129" s="2">
        <v>46212.524350150503</v>
      </c>
      <c r="M129" t="s">
        <v>76</v>
      </c>
      <c r="N129" t="s">
        <v>77</v>
      </c>
      <c r="O129" t="s">
        <v>54</v>
      </c>
      <c r="P129" t="s">
        <v>598</v>
      </c>
      <c r="Q129" t="s">
        <v>571</v>
      </c>
      <c r="R129" t="s">
        <v>57</v>
      </c>
      <c r="S129" t="s">
        <v>68</v>
      </c>
      <c r="V129" t="s">
        <v>59</v>
      </c>
      <c r="W129" t="s">
        <v>60</v>
      </c>
      <c r="X129" t="s">
        <v>61</v>
      </c>
      <c r="Y129" t="s">
        <v>47</v>
      </c>
      <c r="AA129" t="s">
        <v>860</v>
      </c>
      <c r="AF129" t="s">
        <v>117</v>
      </c>
      <c r="AI129" t="s">
        <v>861</v>
      </c>
      <c r="AJ129" t="s">
        <v>68</v>
      </c>
      <c r="AK129" t="s">
        <v>82</v>
      </c>
      <c r="AL129" t="s">
        <v>70</v>
      </c>
      <c r="AM129">
        <v>9</v>
      </c>
      <c r="AN129">
        <v>2026</v>
      </c>
      <c r="AO129" t="s">
        <v>71</v>
      </c>
      <c r="AP129">
        <v>9</v>
      </c>
      <c r="AQ129" t="s">
        <v>71</v>
      </c>
    </row>
    <row r="130" spans="1:43" x14ac:dyDescent="0.25">
      <c r="A130">
        <v>129</v>
      </c>
      <c r="B130" t="s">
        <v>345</v>
      </c>
      <c r="C130" t="s">
        <v>862</v>
      </c>
      <c r="D130" t="s">
        <v>863</v>
      </c>
      <c r="E130" t="s">
        <v>864</v>
      </c>
      <c r="F130" t="s">
        <v>47</v>
      </c>
      <c r="I130" t="s">
        <v>435</v>
      </c>
      <c r="K130" s="2">
        <v>46212.711546261598</v>
      </c>
      <c r="L130" s="2">
        <v>46220.333345717598</v>
      </c>
      <c r="M130" t="s">
        <v>76</v>
      </c>
      <c r="N130" t="s">
        <v>77</v>
      </c>
      <c r="O130" t="s">
        <v>54</v>
      </c>
      <c r="P130" t="s">
        <v>88</v>
      </c>
      <c r="Q130" t="s">
        <v>56</v>
      </c>
      <c r="S130" t="s">
        <v>68</v>
      </c>
      <c r="V130" t="s">
        <v>59</v>
      </c>
      <c r="W130" t="s">
        <v>90</v>
      </c>
      <c r="X130" t="s">
        <v>61</v>
      </c>
      <c r="Y130" t="s">
        <v>47</v>
      </c>
      <c r="AA130" t="s">
        <v>865</v>
      </c>
      <c r="AF130" t="s">
        <v>866</v>
      </c>
      <c r="AI130" t="s">
        <v>867</v>
      </c>
      <c r="AJ130" t="s">
        <v>68</v>
      </c>
      <c r="AK130" t="s">
        <v>82</v>
      </c>
      <c r="AL130" t="s">
        <v>70</v>
      </c>
      <c r="AM130">
        <v>9</v>
      </c>
      <c r="AN130">
        <v>2026</v>
      </c>
      <c r="AO130" t="s">
        <v>71</v>
      </c>
      <c r="AP130">
        <v>17</v>
      </c>
      <c r="AQ130" t="s">
        <v>71</v>
      </c>
    </row>
    <row r="131" spans="1:43" x14ac:dyDescent="0.25">
      <c r="A131">
        <v>130</v>
      </c>
      <c r="B131" t="s">
        <v>229</v>
      </c>
      <c r="C131" t="s">
        <v>868</v>
      </c>
      <c r="D131" t="s">
        <v>869</v>
      </c>
      <c r="E131" t="s">
        <v>870</v>
      </c>
      <c r="F131" t="s">
        <v>47</v>
      </c>
      <c r="I131" t="s">
        <v>233</v>
      </c>
      <c r="K131" s="2">
        <v>46212.586856944399</v>
      </c>
      <c r="L131" s="2">
        <v>46220.333345717598</v>
      </c>
      <c r="M131" t="s">
        <v>76</v>
      </c>
      <c r="N131" t="s">
        <v>77</v>
      </c>
      <c r="O131" t="s">
        <v>54</v>
      </c>
      <c r="P131" t="s">
        <v>55</v>
      </c>
      <c r="Q131" t="s">
        <v>113</v>
      </c>
      <c r="S131" t="s">
        <v>68</v>
      </c>
      <c r="V131" t="s">
        <v>59</v>
      </c>
      <c r="W131" t="s">
        <v>90</v>
      </c>
      <c r="X131" t="s">
        <v>61</v>
      </c>
      <c r="Y131" t="s">
        <v>47</v>
      </c>
      <c r="AA131" t="s">
        <v>871</v>
      </c>
      <c r="AF131" t="s">
        <v>245</v>
      </c>
      <c r="AI131" t="s">
        <v>754</v>
      </c>
      <c r="AJ131" t="s">
        <v>68</v>
      </c>
      <c r="AK131" t="s">
        <v>82</v>
      </c>
      <c r="AL131" t="s">
        <v>70</v>
      </c>
      <c r="AM131">
        <v>9</v>
      </c>
      <c r="AN131">
        <v>2026</v>
      </c>
      <c r="AO131" t="s">
        <v>71</v>
      </c>
      <c r="AP131">
        <v>17</v>
      </c>
      <c r="AQ131" t="s">
        <v>71</v>
      </c>
    </row>
    <row r="132" spans="1:43" x14ac:dyDescent="0.25">
      <c r="A132">
        <v>131</v>
      </c>
      <c r="B132" t="s">
        <v>229</v>
      </c>
      <c r="C132" t="s">
        <v>872</v>
      </c>
      <c r="D132" t="s">
        <v>873</v>
      </c>
      <c r="E132" t="s">
        <v>874</v>
      </c>
      <c r="F132" t="s">
        <v>47</v>
      </c>
      <c r="I132" t="s">
        <v>233</v>
      </c>
      <c r="K132" s="2">
        <v>46212.647772569399</v>
      </c>
      <c r="L132" s="2">
        <v>46221.333345370404</v>
      </c>
      <c r="M132" t="s">
        <v>76</v>
      </c>
      <c r="N132" t="s">
        <v>77</v>
      </c>
      <c r="O132" t="s">
        <v>54</v>
      </c>
      <c r="P132" t="s">
        <v>160</v>
      </c>
      <c r="Q132" t="s">
        <v>161</v>
      </c>
      <c r="S132" t="s">
        <v>68</v>
      </c>
      <c r="V132" t="s">
        <v>59</v>
      </c>
      <c r="W132" t="s">
        <v>90</v>
      </c>
      <c r="X132" t="s">
        <v>61</v>
      </c>
      <c r="Y132" t="s">
        <v>47</v>
      </c>
      <c r="AA132" t="s">
        <v>875</v>
      </c>
      <c r="AF132" t="s">
        <v>245</v>
      </c>
      <c r="AI132" t="s">
        <v>443</v>
      </c>
      <c r="AJ132" t="s">
        <v>68</v>
      </c>
      <c r="AK132" t="s">
        <v>82</v>
      </c>
      <c r="AL132" t="s">
        <v>70</v>
      </c>
      <c r="AM132">
        <v>9</v>
      </c>
      <c r="AN132">
        <v>2026</v>
      </c>
      <c r="AO132" t="s">
        <v>71</v>
      </c>
      <c r="AP132">
        <v>18</v>
      </c>
      <c r="AQ132" t="s">
        <v>71</v>
      </c>
    </row>
    <row r="133" spans="1:43" x14ac:dyDescent="0.25">
      <c r="A133">
        <v>132</v>
      </c>
      <c r="B133" t="s">
        <v>141</v>
      </c>
      <c r="C133" t="s">
        <v>876</v>
      </c>
      <c r="D133" t="s">
        <v>877</v>
      </c>
      <c r="E133" t="s">
        <v>878</v>
      </c>
      <c r="F133" t="s">
        <v>47</v>
      </c>
      <c r="I133" t="s">
        <v>145</v>
      </c>
      <c r="K133" s="2">
        <v>46212.425953159698</v>
      </c>
      <c r="L133" s="2">
        <v>46220.333345717598</v>
      </c>
      <c r="M133" t="s">
        <v>76</v>
      </c>
      <c r="N133" t="s">
        <v>77</v>
      </c>
      <c r="O133" t="s">
        <v>54</v>
      </c>
      <c r="P133" t="s">
        <v>879</v>
      </c>
      <c r="Q133" t="s">
        <v>185</v>
      </c>
      <c r="S133" t="s">
        <v>68</v>
      </c>
      <c r="V133" t="s">
        <v>59</v>
      </c>
      <c r="W133" t="s">
        <v>90</v>
      </c>
      <c r="X133" t="s">
        <v>61</v>
      </c>
      <c r="Y133" t="s">
        <v>47</v>
      </c>
      <c r="AA133" t="s">
        <v>880</v>
      </c>
      <c r="AF133" t="s">
        <v>881</v>
      </c>
      <c r="AI133" t="s">
        <v>654</v>
      </c>
      <c r="AJ133" t="s">
        <v>68</v>
      </c>
      <c r="AK133" t="s">
        <v>82</v>
      </c>
      <c r="AL133" t="s">
        <v>70</v>
      </c>
      <c r="AM133">
        <v>9</v>
      </c>
      <c r="AN133">
        <v>2026</v>
      </c>
      <c r="AO133" t="s">
        <v>71</v>
      </c>
      <c r="AP133">
        <v>17</v>
      </c>
      <c r="AQ133" t="s">
        <v>71</v>
      </c>
    </row>
    <row r="134" spans="1:43" x14ac:dyDescent="0.25">
      <c r="A134">
        <v>133</v>
      </c>
      <c r="B134" t="s">
        <v>249</v>
      </c>
      <c r="C134" t="s">
        <v>882</v>
      </c>
      <c r="D134" t="s">
        <v>883</v>
      </c>
      <c r="E134" t="s">
        <v>884</v>
      </c>
      <c r="F134" t="s">
        <v>47</v>
      </c>
      <c r="I134" t="s">
        <v>254</v>
      </c>
      <c r="K134" s="2">
        <v>46212.381685648201</v>
      </c>
      <c r="L134" s="2">
        <v>46212.386021840299</v>
      </c>
      <c r="M134" t="s">
        <v>76</v>
      </c>
      <c r="N134" t="s">
        <v>77</v>
      </c>
      <c r="O134" t="s">
        <v>54</v>
      </c>
      <c r="P134" t="s">
        <v>55</v>
      </c>
      <c r="Q134" t="s">
        <v>147</v>
      </c>
      <c r="R134" t="s">
        <v>57</v>
      </c>
      <c r="S134" t="s">
        <v>68</v>
      </c>
      <c r="V134" t="s">
        <v>59</v>
      </c>
      <c r="W134" t="s">
        <v>90</v>
      </c>
      <c r="X134" t="s">
        <v>61</v>
      </c>
      <c r="Y134" t="s">
        <v>47</v>
      </c>
      <c r="AA134" t="s">
        <v>885</v>
      </c>
      <c r="AF134" t="s">
        <v>92</v>
      </c>
      <c r="AI134" t="s">
        <v>551</v>
      </c>
      <c r="AJ134" t="s">
        <v>68</v>
      </c>
      <c r="AK134" t="s">
        <v>82</v>
      </c>
      <c r="AL134" t="s">
        <v>70</v>
      </c>
      <c r="AM134">
        <v>9</v>
      </c>
      <c r="AN134">
        <v>2026</v>
      </c>
      <c r="AO134" t="s">
        <v>71</v>
      </c>
      <c r="AP134">
        <v>9</v>
      </c>
      <c r="AQ134" t="s">
        <v>71</v>
      </c>
    </row>
    <row r="135" spans="1:43" x14ac:dyDescent="0.25">
      <c r="A135">
        <v>134</v>
      </c>
      <c r="B135" t="s">
        <v>249</v>
      </c>
      <c r="C135" t="s">
        <v>886</v>
      </c>
      <c r="D135" t="s">
        <v>887</v>
      </c>
      <c r="E135" t="s">
        <v>888</v>
      </c>
      <c r="F135" t="s">
        <v>47</v>
      </c>
      <c r="I135" t="s">
        <v>254</v>
      </c>
      <c r="K135" s="2">
        <v>46212.387689699099</v>
      </c>
      <c r="L135" s="2">
        <v>46212.392416550902</v>
      </c>
      <c r="M135" t="s">
        <v>76</v>
      </c>
      <c r="N135" t="s">
        <v>77</v>
      </c>
      <c r="O135" t="s">
        <v>54</v>
      </c>
      <c r="P135" t="s">
        <v>55</v>
      </c>
      <c r="Q135" t="s">
        <v>161</v>
      </c>
      <c r="R135" t="s">
        <v>57</v>
      </c>
      <c r="S135" t="s">
        <v>68</v>
      </c>
      <c r="V135" t="s">
        <v>59</v>
      </c>
      <c r="W135" t="s">
        <v>90</v>
      </c>
      <c r="X135" t="s">
        <v>61</v>
      </c>
      <c r="Y135" t="s">
        <v>47</v>
      </c>
      <c r="AA135" t="s">
        <v>889</v>
      </c>
      <c r="AF135" t="s">
        <v>92</v>
      </c>
      <c r="AI135" t="s">
        <v>551</v>
      </c>
      <c r="AJ135" t="s">
        <v>68</v>
      </c>
      <c r="AK135" t="s">
        <v>82</v>
      </c>
      <c r="AL135" t="s">
        <v>70</v>
      </c>
      <c r="AM135">
        <v>9</v>
      </c>
      <c r="AN135">
        <v>2026</v>
      </c>
      <c r="AO135" t="s">
        <v>71</v>
      </c>
      <c r="AP135">
        <v>9</v>
      </c>
      <c r="AQ135" t="s">
        <v>71</v>
      </c>
    </row>
    <row r="136" spans="1:43" x14ac:dyDescent="0.25">
      <c r="A136">
        <v>135</v>
      </c>
      <c r="B136" t="s">
        <v>664</v>
      </c>
      <c r="C136" t="s">
        <v>890</v>
      </c>
      <c r="D136" t="s">
        <v>891</v>
      </c>
      <c r="E136" t="s">
        <v>892</v>
      </c>
      <c r="F136" t="s">
        <v>75</v>
      </c>
      <c r="I136" t="s">
        <v>670</v>
      </c>
      <c r="K136" s="2">
        <v>46212.424255555597</v>
      </c>
      <c r="L136" s="2">
        <v>46220.333345717598</v>
      </c>
      <c r="M136" t="s">
        <v>76</v>
      </c>
      <c r="N136" t="s">
        <v>77</v>
      </c>
      <c r="O136" t="s">
        <v>54</v>
      </c>
      <c r="P136" t="s">
        <v>88</v>
      </c>
      <c r="Q136" t="s">
        <v>893</v>
      </c>
      <c r="S136" t="s">
        <v>68</v>
      </c>
      <c r="V136" t="s">
        <v>59</v>
      </c>
      <c r="W136" t="s">
        <v>90</v>
      </c>
      <c r="X136" t="s">
        <v>61</v>
      </c>
      <c r="Y136" t="s">
        <v>75</v>
      </c>
      <c r="AA136" t="s">
        <v>894</v>
      </c>
      <c r="AF136" t="s">
        <v>245</v>
      </c>
      <c r="AK136" t="s">
        <v>82</v>
      </c>
      <c r="AL136" t="s">
        <v>70</v>
      </c>
      <c r="AM136">
        <v>9</v>
      </c>
      <c r="AN136">
        <v>2026</v>
      </c>
      <c r="AO136" t="s">
        <v>71</v>
      </c>
      <c r="AP136">
        <v>17</v>
      </c>
      <c r="AQ136" t="s">
        <v>71</v>
      </c>
    </row>
    <row r="137" spans="1:43" x14ac:dyDescent="0.25">
      <c r="A137">
        <v>136</v>
      </c>
      <c r="B137" t="s">
        <v>43</v>
      </c>
      <c r="C137" t="s">
        <v>895</v>
      </c>
      <c r="D137" t="s">
        <v>896</v>
      </c>
      <c r="E137" t="s">
        <v>897</v>
      </c>
      <c r="F137" t="s">
        <v>274</v>
      </c>
      <c r="G137" t="s">
        <v>898</v>
      </c>
      <c r="H137" t="s">
        <v>899</v>
      </c>
      <c r="I137" t="s">
        <v>50</v>
      </c>
      <c r="J137" t="s">
        <v>51</v>
      </c>
      <c r="K137" s="2">
        <v>46213.874531863403</v>
      </c>
      <c r="L137" s="2">
        <v>46218.609391435202</v>
      </c>
      <c r="M137" t="s">
        <v>52</v>
      </c>
      <c r="N137" t="s">
        <v>53</v>
      </c>
      <c r="O137" t="s">
        <v>54</v>
      </c>
      <c r="P137" t="s">
        <v>55</v>
      </c>
      <c r="Q137" t="s">
        <v>175</v>
      </c>
      <c r="R137" t="s">
        <v>707</v>
      </c>
      <c r="S137" t="s">
        <v>58</v>
      </c>
      <c r="V137" t="s">
        <v>59</v>
      </c>
      <c r="W137" t="s">
        <v>60</v>
      </c>
      <c r="X137" t="s">
        <v>61</v>
      </c>
      <c r="Y137" t="s">
        <v>274</v>
      </c>
      <c r="Z137" t="s">
        <v>482</v>
      </c>
      <c r="AA137" t="s">
        <v>900</v>
      </c>
      <c r="AB137">
        <v>87200100</v>
      </c>
      <c r="AC137" t="s">
        <v>58</v>
      </c>
      <c r="AD137" s="2">
        <v>46217</v>
      </c>
      <c r="AE137" t="s">
        <v>901</v>
      </c>
      <c r="AF137" t="s">
        <v>901</v>
      </c>
      <c r="AG137" t="s">
        <v>66</v>
      </c>
      <c r="AK137" t="s">
        <v>69</v>
      </c>
      <c r="AL137" t="s">
        <v>277</v>
      </c>
      <c r="AM137">
        <v>10</v>
      </c>
      <c r="AN137">
        <v>2026</v>
      </c>
      <c r="AO137" t="s">
        <v>71</v>
      </c>
      <c r="AP137">
        <v>15</v>
      </c>
      <c r="AQ137" t="s">
        <v>71</v>
      </c>
    </row>
    <row r="138" spans="1:43" x14ac:dyDescent="0.25">
      <c r="A138">
        <v>137</v>
      </c>
      <c r="B138" t="s">
        <v>83</v>
      </c>
      <c r="C138" t="s">
        <v>902</v>
      </c>
      <c r="D138" t="s">
        <v>903</v>
      </c>
      <c r="E138" t="s">
        <v>904</v>
      </c>
      <c r="F138" t="s">
        <v>47</v>
      </c>
      <c r="I138" t="s">
        <v>87</v>
      </c>
      <c r="K138" s="2">
        <v>46213.616192094902</v>
      </c>
      <c r="L138" s="2">
        <v>46221.333345370404</v>
      </c>
      <c r="M138" t="s">
        <v>76</v>
      </c>
      <c r="N138" t="s">
        <v>77</v>
      </c>
      <c r="O138" t="s">
        <v>54</v>
      </c>
      <c r="P138" t="s">
        <v>174</v>
      </c>
      <c r="Q138" t="s">
        <v>621</v>
      </c>
      <c r="S138" t="s">
        <v>68</v>
      </c>
      <c r="V138" t="s">
        <v>59</v>
      </c>
      <c r="W138" t="s">
        <v>90</v>
      </c>
      <c r="X138" t="s">
        <v>61</v>
      </c>
      <c r="Y138" t="s">
        <v>47</v>
      </c>
      <c r="AA138" t="s">
        <v>905</v>
      </c>
      <c r="AF138" t="s">
        <v>92</v>
      </c>
      <c r="AI138" t="s">
        <v>612</v>
      </c>
      <c r="AJ138" t="s">
        <v>68</v>
      </c>
      <c r="AK138" t="s">
        <v>82</v>
      </c>
      <c r="AL138" t="s">
        <v>70</v>
      </c>
      <c r="AM138">
        <v>10</v>
      </c>
      <c r="AN138">
        <v>2026</v>
      </c>
      <c r="AO138" t="s">
        <v>71</v>
      </c>
      <c r="AP138">
        <v>18</v>
      </c>
      <c r="AQ138" t="s">
        <v>71</v>
      </c>
    </row>
    <row r="139" spans="1:43" x14ac:dyDescent="0.25">
      <c r="A139">
        <v>138</v>
      </c>
      <c r="B139" t="s">
        <v>83</v>
      </c>
      <c r="C139" t="s">
        <v>906</v>
      </c>
      <c r="D139" t="s">
        <v>907</v>
      </c>
      <c r="E139" t="s">
        <v>908</v>
      </c>
      <c r="F139" t="s">
        <v>47</v>
      </c>
      <c r="I139" t="s">
        <v>87</v>
      </c>
      <c r="K139" s="2">
        <v>46213.632687384299</v>
      </c>
      <c r="L139" s="2">
        <v>46221.333345370404</v>
      </c>
      <c r="M139" t="s">
        <v>76</v>
      </c>
      <c r="N139" t="s">
        <v>77</v>
      </c>
      <c r="O139" t="s">
        <v>54</v>
      </c>
      <c r="P139" t="s">
        <v>88</v>
      </c>
      <c r="Q139" t="s">
        <v>56</v>
      </c>
      <c r="S139" t="s">
        <v>68</v>
      </c>
      <c r="V139" t="s">
        <v>59</v>
      </c>
      <c r="W139" t="s">
        <v>90</v>
      </c>
      <c r="X139" t="s">
        <v>61</v>
      </c>
      <c r="Y139" t="s">
        <v>47</v>
      </c>
      <c r="AA139" t="s">
        <v>909</v>
      </c>
      <c r="AF139" t="s">
        <v>92</v>
      </c>
      <c r="AI139" t="s">
        <v>910</v>
      </c>
      <c r="AJ139" t="s">
        <v>68</v>
      </c>
      <c r="AK139" t="s">
        <v>82</v>
      </c>
      <c r="AL139" t="s">
        <v>70</v>
      </c>
      <c r="AM139">
        <v>10</v>
      </c>
      <c r="AN139">
        <v>2026</v>
      </c>
      <c r="AO139" t="s">
        <v>71</v>
      </c>
      <c r="AP139">
        <v>18</v>
      </c>
      <c r="AQ139" t="s">
        <v>71</v>
      </c>
    </row>
    <row r="140" spans="1:43" x14ac:dyDescent="0.25">
      <c r="A140">
        <v>139</v>
      </c>
      <c r="B140" t="s">
        <v>83</v>
      </c>
      <c r="C140" t="s">
        <v>911</v>
      </c>
      <c r="D140" t="s">
        <v>912</v>
      </c>
      <c r="E140" t="s">
        <v>913</v>
      </c>
      <c r="F140" t="s">
        <v>47</v>
      </c>
      <c r="G140" t="s">
        <v>914</v>
      </c>
      <c r="H140" t="s">
        <v>915</v>
      </c>
      <c r="I140" t="s">
        <v>87</v>
      </c>
      <c r="J140" t="s">
        <v>51</v>
      </c>
      <c r="K140" s="2">
        <v>46213.782162071802</v>
      </c>
      <c r="L140" s="2">
        <v>46216.578020138899</v>
      </c>
      <c r="M140" t="s">
        <v>52</v>
      </c>
      <c r="N140" t="s">
        <v>53</v>
      </c>
      <c r="O140" t="s">
        <v>54</v>
      </c>
      <c r="P140" t="s">
        <v>55</v>
      </c>
      <c r="Q140" t="s">
        <v>79</v>
      </c>
      <c r="R140" t="s">
        <v>57</v>
      </c>
      <c r="S140" t="s">
        <v>58</v>
      </c>
      <c r="V140" t="s">
        <v>59</v>
      </c>
      <c r="W140" t="s">
        <v>90</v>
      </c>
      <c r="X140" t="s">
        <v>61</v>
      </c>
      <c r="Y140" t="s">
        <v>47</v>
      </c>
      <c r="Z140" t="s">
        <v>186</v>
      </c>
      <c r="AA140" t="s">
        <v>916</v>
      </c>
      <c r="AB140">
        <v>72800000</v>
      </c>
      <c r="AC140" t="s">
        <v>58</v>
      </c>
      <c r="AD140" s="2">
        <v>46216</v>
      </c>
      <c r="AE140" t="s">
        <v>917</v>
      </c>
      <c r="AF140" t="s">
        <v>92</v>
      </c>
      <c r="AG140" t="s">
        <v>66</v>
      </c>
      <c r="AI140" t="s">
        <v>918</v>
      </c>
      <c r="AJ140" t="s">
        <v>68</v>
      </c>
      <c r="AK140" t="s">
        <v>69</v>
      </c>
      <c r="AL140" t="s">
        <v>70</v>
      </c>
      <c r="AM140">
        <v>10</v>
      </c>
      <c r="AN140">
        <v>2026</v>
      </c>
      <c r="AO140" t="s">
        <v>71</v>
      </c>
      <c r="AP140">
        <v>13</v>
      </c>
      <c r="AQ140" t="s">
        <v>71</v>
      </c>
    </row>
    <row r="141" spans="1:43" x14ac:dyDescent="0.25">
      <c r="A141">
        <v>140</v>
      </c>
      <c r="B141" t="s">
        <v>106</v>
      </c>
      <c r="C141" t="s">
        <v>919</v>
      </c>
      <c r="D141" t="s">
        <v>920</v>
      </c>
      <c r="E141" t="s">
        <v>921</v>
      </c>
      <c r="F141" t="s">
        <v>47</v>
      </c>
      <c r="I141" t="s">
        <v>112</v>
      </c>
      <c r="K141" s="2">
        <v>46213.346331018503</v>
      </c>
      <c r="L141" s="2">
        <v>46221.333345370404</v>
      </c>
      <c r="M141" t="s">
        <v>76</v>
      </c>
      <c r="N141" t="s">
        <v>77</v>
      </c>
      <c r="O141" t="s">
        <v>54</v>
      </c>
      <c r="P141" t="s">
        <v>55</v>
      </c>
      <c r="Q141" t="s">
        <v>893</v>
      </c>
      <c r="S141" t="s">
        <v>68</v>
      </c>
      <c r="V141" t="s">
        <v>59</v>
      </c>
      <c r="W141" t="s">
        <v>60</v>
      </c>
      <c r="X141" t="s">
        <v>61</v>
      </c>
      <c r="Y141" t="s">
        <v>47</v>
      </c>
      <c r="AA141" t="s">
        <v>922</v>
      </c>
      <c r="AF141" t="s">
        <v>117</v>
      </c>
      <c r="AI141" t="s">
        <v>128</v>
      </c>
      <c r="AJ141" t="s">
        <v>68</v>
      </c>
      <c r="AK141" t="s">
        <v>82</v>
      </c>
      <c r="AL141" t="s">
        <v>70</v>
      </c>
      <c r="AM141">
        <v>10</v>
      </c>
      <c r="AN141">
        <v>2026</v>
      </c>
      <c r="AO141" t="s">
        <v>71</v>
      </c>
      <c r="AP141">
        <v>18</v>
      </c>
      <c r="AQ141" t="s">
        <v>71</v>
      </c>
    </row>
    <row r="142" spans="1:43" x14ac:dyDescent="0.25">
      <c r="A142">
        <v>141</v>
      </c>
      <c r="B142" t="s">
        <v>106</v>
      </c>
      <c r="C142" t="s">
        <v>923</v>
      </c>
      <c r="D142" t="s">
        <v>924</v>
      </c>
      <c r="E142" t="s">
        <v>925</v>
      </c>
      <c r="F142" t="s">
        <v>47</v>
      </c>
      <c r="G142" t="s">
        <v>926</v>
      </c>
      <c r="H142" t="s">
        <v>927</v>
      </c>
      <c r="I142" t="s">
        <v>112</v>
      </c>
      <c r="J142" t="s">
        <v>51</v>
      </c>
      <c r="K142" s="2">
        <v>46213.630408020799</v>
      </c>
      <c r="L142" s="2">
        <v>46219.392108449101</v>
      </c>
      <c r="M142" t="s">
        <v>52</v>
      </c>
      <c r="N142" t="s">
        <v>53</v>
      </c>
      <c r="O142" t="s">
        <v>54</v>
      </c>
      <c r="P142" t="s">
        <v>78</v>
      </c>
      <c r="Q142" t="s">
        <v>56</v>
      </c>
      <c r="R142" t="s">
        <v>57</v>
      </c>
      <c r="S142" t="s">
        <v>481</v>
      </c>
      <c r="V142" t="s">
        <v>59</v>
      </c>
      <c r="W142" t="s">
        <v>60</v>
      </c>
      <c r="X142" t="s">
        <v>61</v>
      </c>
      <c r="Y142" t="s">
        <v>47</v>
      </c>
      <c r="Z142" t="s">
        <v>186</v>
      </c>
      <c r="AA142" t="s">
        <v>928</v>
      </c>
      <c r="AB142">
        <v>186505000</v>
      </c>
      <c r="AC142" t="s">
        <v>481</v>
      </c>
      <c r="AD142" s="2">
        <v>46218</v>
      </c>
      <c r="AE142" t="s">
        <v>929</v>
      </c>
      <c r="AF142" t="s">
        <v>117</v>
      </c>
      <c r="AG142" t="s">
        <v>66</v>
      </c>
      <c r="AI142" t="s">
        <v>118</v>
      </c>
      <c r="AJ142" t="s">
        <v>68</v>
      </c>
      <c r="AK142" t="s">
        <v>69</v>
      </c>
      <c r="AL142" t="s">
        <v>70</v>
      </c>
      <c r="AM142">
        <v>10</v>
      </c>
      <c r="AN142">
        <v>2026</v>
      </c>
      <c r="AO142" t="s">
        <v>71</v>
      </c>
      <c r="AP142">
        <v>16</v>
      </c>
      <c r="AQ142" t="s">
        <v>71</v>
      </c>
    </row>
    <row r="143" spans="1:43" x14ac:dyDescent="0.25">
      <c r="A143">
        <v>142</v>
      </c>
      <c r="B143" t="s">
        <v>213</v>
      </c>
      <c r="C143" t="s">
        <v>930</v>
      </c>
      <c r="D143" t="s">
        <v>931</v>
      </c>
      <c r="E143" t="s">
        <v>932</v>
      </c>
      <c r="F143" t="s">
        <v>47</v>
      </c>
      <c r="I143" t="s">
        <v>217</v>
      </c>
      <c r="K143" s="2">
        <v>46213.382149305602</v>
      </c>
      <c r="L143" s="2">
        <v>46213.388954594899</v>
      </c>
      <c r="M143" t="s">
        <v>76</v>
      </c>
      <c r="N143" t="s">
        <v>77</v>
      </c>
      <c r="O143" t="s">
        <v>54</v>
      </c>
      <c r="P143" t="s">
        <v>55</v>
      </c>
      <c r="Q143" t="s">
        <v>126</v>
      </c>
      <c r="R143" t="s">
        <v>57</v>
      </c>
      <c r="S143" t="s">
        <v>68</v>
      </c>
      <c r="V143" t="s">
        <v>59</v>
      </c>
      <c r="W143" t="s">
        <v>90</v>
      </c>
      <c r="X143" t="s">
        <v>61</v>
      </c>
      <c r="Y143" t="s">
        <v>47</v>
      </c>
      <c r="AA143" t="s">
        <v>933</v>
      </c>
      <c r="AF143" t="s">
        <v>934</v>
      </c>
      <c r="AI143" t="s">
        <v>935</v>
      </c>
      <c r="AJ143" t="s">
        <v>68</v>
      </c>
      <c r="AK143" t="s">
        <v>82</v>
      </c>
      <c r="AL143" t="s">
        <v>70</v>
      </c>
      <c r="AM143">
        <v>10</v>
      </c>
      <c r="AN143">
        <v>2026</v>
      </c>
      <c r="AO143" t="s">
        <v>71</v>
      </c>
      <c r="AP143">
        <v>10</v>
      </c>
      <c r="AQ143" t="s">
        <v>71</v>
      </c>
    </row>
    <row r="144" spans="1:43" x14ac:dyDescent="0.25">
      <c r="A144">
        <v>143</v>
      </c>
      <c r="B144" t="s">
        <v>345</v>
      </c>
      <c r="C144" t="s">
        <v>936</v>
      </c>
      <c r="D144" t="s">
        <v>937</v>
      </c>
      <c r="E144" t="s">
        <v>938</v>
      </c>
      <c r="F144" t="s">
        <v>47</v>
      </c>
      <c r="I144" t="s">
        <v>351</v>
      </c>
      <c r="K144" s="2">
        <v>46213.000807638899</v>
      </c>
      <c r="L144" s="2">
        <v>46213.302175925899</v>
      </c>
      <c r="M144" t="s">
        <v>76</v>
      </c>
      <c r="N144" t="s">
        <v>77</v>
      </c>
      <c r="O144" t="s">
        <v>54</v>
      </c>
      <c r="P144" t="s">
        <v>174</v>
      </c>
      <c r="Q144" t="s">
        <v>621</v>
      </c>
      <c r="R144" t="s">
        <v>57</v>
      </c>
      <c r="S144" t="s">
        <v>68</v>
      </c>
      <c r="V144" t="s">
        <v>59</v>
      </c>
      <c r="W144" t="s">
        <v>90</v>
      </c>
      <c r="X144" t="s">
        <v>61</v>
      </c>
      <c r="Y144" t="s">
        <v>47</v>
      </c>
      <c r="AA144" t="s">
        <v>939</v>
      </c>
      <c r="AF144" t="s">
        <v>65</v>
      </c>
      <c r="AI144" t="s">
        <v>940</v>
      </c>
      <c r="AJ144" t="s">
        <v>68</v>
      </c>
      <c r="AK144" t="s">
        <v>82</v>
      </c>
      <c r="AL144" t="s">
        <v>70</v>
      </c>
      <c r="AM144">
        <v>10</v>
      </c>
      <c r="AN144">
        <v>2026</v>
      </c>
      <c r="AO144" t="s">
        <v>71</v>
      </c>
      <c r="AP144">
        <v>10</v>
      </c>
      <c r="AQ144" t="s">
        <v>71</v>
      </c>
    </row>
    <row r="145" spans="1:43" x14ac:dyDescent="0.25">
      <c r="A145">
        <v>144</v>
      </c>
      <c r="B145" t="s">
        <v>345</v>
      </c>
      <c r="C145" t="s">
        <v>941</v>
      </c>
      <c r="D145" t="s">
        <v>942</v>
      </c>
      <c r="E145" t="s">
        <v>943</v>
      </c>
      <c r="F145" t="s">
        <v>47</v>
      </c>
      <c r="I145" t="s">
        <v>435</v>
      </c>
      <c r="K145" s="2">
        <v>46213.7740249653</v>
      </c>
      <c r="L145" s="2">
        <v>46221.333345370404</v>
      </c>
      <c r="M145" t="s">
        <v>76</v>
      </c>
      <c r="N145" t="s">
        <v>77</v>
      </c>
      <c r="O145" t="s">
        <v>54</v>
      </c>
      <c r="P145" t="s">
        <v>78</v>
      </c>
      <c r="Q145" t="s">
        <v>89</v>
      </c>
      <c r="S145" t="s">
        <v>68</v>
      </c>
      <c r="V145" t="s">
        <v>59</v>
      </c>
      <c r="W145" t="s">
        <v>90</v>
      </c>
      <c r="X145" t="s">
        <v>61</v>
      </c>
      <c r="Y145" t="s">
        <v>47</v>
      </c>
      <c r="AA145" t="s">
        <v>944</v>
      </c>
      <c r="AF145" t="s">
        <v>437</v>
      </c>
      <c r="AI145" t="s">
        <v>945</v>
      </c>
      <c r="AJ145" t="s">
        <v>68</v>
      </c>
      <c r="AK145" t="s">
        <v>82</v>
      </c>
      <c r="AL145" t="s">
        <v>70</v>
      </c>
      <c r="AM145">
        <v>10</v>
      </c>
      <c r="AN145">
        <v>2026</v>
      </c>
      <c r="AO145" t="s">
        <v>71</v>
      </c>
      <c r="AP145">
        <v>18</v>
      </c>
      <c r="AQ145" t="s">
        <v>71</v>
      </c>
    </row>
    <row r="146" spans="1:43" x14ac:dyDescent="0.25">
      <c r="A146">
        <v>145</v>
      </c>
      <c r="B146" t="s">
        <v>946</v>
      </c>
      <c r="C146" t="s">
        <v>947</v>
      </c>
      <c r="D146" t="s">
        <v>948</v>
      </c>
      <c r="E146" t="s">
        <v>949</v>
      </c>
      <c r="F146" t="s">
        <v>47</v>
      </c>
      <c r="G146" t="s">
        <v>950</v>
      </c>
      <c r="H146" t="s">
        <v>951</v>
      </c>
      <c r="I146" t="s">
        <v>952</v>
      </c>
      <c r="J146" t="s">
        <v>51</v>
      </c>
      <c r="K146" s="2">
        <v>46213.511258530103</v>
      </c>
      <c r="L146" s="2">
        <v>46217.607677696797</v>
      </c>
      <c r="M146" t="s">
        <v>52</v>
      </c>
      <c r="N146" t="s">
        <v>53</v>
      </c>
      <c r="O146" t="s">
        <v>54</v>
      </c>
      <c r="P146" t="s">
        <v>55</v>
      </c>
      <c r="Q146" t="s">
        <v>571</v>
      </c>
      <c r="R146" t="s">
        <v>57</v>
      </c>
      <c r="S146" t="s">
        <v>58</v>
      </c>
      <c r="V146" t="s">
        <v>59</v>
      </c>
      <c r="W146" t="s">
        <v>90</v>
      </c>
      <c r="X146" t="s">
        <v>61</v>
      </c>
      <c r="Y146" t="s">
        <v>47</v>
      </c>
      <c r="Z146" t="s">
        <v>953</v>
      </c>
      <c r="AA146" t="s">
        <v>954</v>
      </c>
      <c r="AB146">
        <v>113589000</v>
      </c>
      <c r="AC146" t="s">
        <v>58</v>
      </c>
      <c r="AD146" s="2">
        <v>46217</v>
      </c>
      <c r="AE146" t="s">
        <v>955</v>
      </c>
      <c r="AF146" t="s">
        <v>956</v>
      </c>
      <c r="AG146" t="s">
        <v>66</v>
      </c>
      <c r="AI146" t="s">
        <v>957</v>
      </c>
      <c r="AJ146" t="s">
        <v>68</v>
      </c>
      <c r="AK146" t="s">
        <v>69</v>
      </c>
      <c r="AL146" t="s">
        <v>70</v>
      </c>
      <c r="AM146">
        <v>10</v>
      </c>
      <c r="AN146">
        <v>2026</v>
      </c>
      <c r="AO146" t="s">
        <v>71</v>
      </c>
      <c r="AP146">
        <v>14</v>
      </c>
      <c r="AQ146" t="s">
        <v>71</v>
      </c>
    </row>
    <row r="147" spans="1:43" x14ac:dyDescent="0.25">
      <c r="A147">
        <v>146</v>
      </c>
      <c r="B147" t="s">
        <v>129</v>
      </c>
      <c r="C147" t="s">
        <v>958</v>
      </c>
      <c r="D147" t="s">
        <v>959</v>
      </c>
      <c r="E147" t="s">
        <v>960</v>
      </c>
      <c r="F147" t="s">
        <v>47</v>
      </c>
      <c r="I147" t="s">
        <v>133</v>
      </c>
      <c r="K147" s="2">
        <v>46213.6310149653</v>
      </c>
      <c r="L147" s="2">
        <v>46221.333345370404</v>
      </c>
      <c r="M147" t="s">
        <v>76</v>
      </c>
      <c r="N147" t="s">
        <v>77</v>
      </c>
      <c r="O147" t="s">
        <v>54</v>
      </c>
      <c r="P147" t="s">
        <v>55</v>
      </c>
      <c r="Q147" t="s">
        <v>405</v>
      </c>
      <c r="S147" t="s">
        <v>68</v>
      </c>
      <c r="V147" t="s">
        <v>59</v>
      </c>
      <c r="W147" t="s">
        <v>60</v>
      </c>
      <c r="X147" t="s">
        <v>61</v>
      </c>
      <c r="Y147" t="s">
        <v>47</v>
      </c>
      <c r="AA147" t="s">
        <v>961</v>
      </c>
      <c r="AF147" t="s">
        <v>117</v>
      </c>
      <c r="AI147" t="s">
        <v>962</v>
      </c>
      <c r="AJ147" t="s">
        <v>68</v>
      </c>
      <c r="AK147" t="s">
        <v>82</v>
      </c>
      <c r="AL147" t="s">
        <v>70</v>
      </c>
      <c r="AM147">
        <v>10</v>
      </c>
      <c r="AN147">
        <v>2026</v>
      </c>
      <c r="AO147" t="s">
        <v>71</v>
      </c>
      <c r="AP147">
        <v>18</v>
      </c>
      <c r="AQ147" t="s">
        <v>71</v>
      </c>
    </row>
    <row r="148" spans="1:43" x14ac:dyDescent="0.25">
      <c r="A148">
        <v>147</v>
      </c>
      <c r="B148" t="s">
        <v>229</v>
      </c>
      <c r="C148" t="s">
        <v>963</v>
      </c>
      <c r="D148" t="s">
        <v>964</v>
      </c>
      <c r="E148" t="s">
        <v>965</v>
      </c>
      <c r="F148" t="s">
        <v>47</v>
      </c>
      <c r="G148" t="s">
        <v>966</v>
      </c>
      <c r="H148" t="s">
        <v>967</v>
      </c>
      <c r="I148" t="s">
        <v>233</v>
      </c>
      <c r="J148" t="s">
        <v>51</v>
      </c>
      <c r="K148" s="2">
        <v>46213.546977280101</v>
      </c>
      <c r="L148" s="2">
        <v>46219.5659241088</v>
      </c>
      <c r="M148" t="s">
        <v>52</v>
      </c>
      <c r="N148" t="s">
        <v>53</v>
      </c>
      <c r="O148" t="s">
        <v>54</v>
      </c>
      <c r="P148" t="s">
        <v>55</v>
      </c>
      <c r="Q148" t="s">
        <v>89</v>
      </c>
      <c r="R148" t="s">
        <v>243</v>
      </c>
      <c r="S148" t="s">
        <v>58</v>
      </c>
      <c r="V148" t="s">
        <v>59</v>
      </c>
      <c r="W148" t="s">
        <v>90</v>
      </c>
      <c r="X148" t="s">
        <v>61</v>
      </c>
      <c r="Y148" t="s">
        <v>47</v>
      </c>
      <c r="Z148" t="s">
        <v>62</v>
      </c>
      <c r="AA148" t="s">
        <v>968</v>
      </c>
      <c r="AB148">
        <v>87404000</v>
      </c>
      <c r="AC148" t="s">
        <v>58</v>
      </c>
      <c r="AD148" s="2">
        <v>46216</v>
      </c>
      <c r="AE148" t="s">
        <v>969</v>
      </c>
      <c r="AF148" t="s">
        <v>235</v>
      </c>
      <c r="AG148" t="s">
        <v>66</v>
      </c>
      <c r="AI148" t="s">
        <v>537</v>
      </c>
      <c r="AJ148" t="s">
        <v>68</v>
      </c>
      <c r="AK148" t="s">
        <v>69</v>
      </c>
      <c r="AL148" t="s">
        <v>70</v>
      </c>
      <c r="AM148">
        <v>10</v>
      </c>
      <c r="AN148">
        <v>2026</v>
      </c>
      <c r="AO148" t="s">
        <v>71</v>
      </c>
      <c r="AP148">
        <v>16</v>
      </c>
      <c r="AQ148" t="s">
        <v>71</v>
      </c>
    </row>
    <row r="149" spans="1:43" x14ac:dyDescent="0.25">
      <c r="A149">
        <v>148</v>
      </c>
      <c r="B149" t="s">
        <v>141</v>
      </c>
      <c r="C149" t="s">
        <v>970</v>
      </c>
      <c r="D149" t="s">
        <v>971</v>
      </c>
      <c r="E149" t="s">
        <v>972</v>
      </c>
      <c r="F149" t="s">
        <v>47</v>
      </c>
      <c r="I149" t="s">
        <v>145</v>
      </c>
      <c r="K149" s="2">
        <v>46213.379258182897</v>
      </c>
      <c r="L149" s="2">
        <v>46221.333345370404</v>
      </c>
      <c r="M149" t="s">
        <v>76</v>
      </c>
      <c r="N149" t="s">
        <v>77</v>
      </c>
      <c r="O149" t="s">
        <v>54</v>
      </c>
      <c r="P149" t="s">
        <v>55</v>
      </c>
      <c r="Q149" t="s">
        <v>147</v>
      </c>
      <c r="S149" t="s">
        <v>68</v>
      </c>
      <c r="V149" t="s">
        <v>59</v>
      </c>
      <c r="W149" t="s">
        <v>90</v>
      </c>
      <c r="X149" t="s">
        <v>61</v>
      </c>
      <c r="Y149" t="s">
        <v>47</v>
      </c>
      <c r="AA149" t="s">
        <v>973</v>
      </c>
      <c r="AF149" t="s">
        <v>974</v>
      </c>
      <c r="AI149" t="s">
        <v>449</v>
      </c>
      <c r="AJ149" t="s">
        <v>68</v>
      </c>
      <c r="AK149" t="s">
        <v>82</v>
      </c>
      <c r="AL149" t="s">
        <v>70</v>
      </c>
      <c r="AM149">
        <v>10</v>
      </c>
      <c r="AN149">
        <v>2026</v>
      </c>
      <c r="AO149" t="s">
        <v>71</v>
      </c>
      <c r="AP149">
        <v>18</v>
      </c>
      <c r="AQ149" t="s">
        <v>71</v>
      </c>
    </row>
    <row r="150" spans="1:43" x14ac:dyDescent="0.25">
      <c r="A150">
        <v>149</v>
      </c>
      <c r="B150" t="s">
        <v>249</v>
      </c>
      <c r="C150" t="s">
        <v>975</v>
      </c>
      <c r="D150" t="s">
        <v>976</v>
      </c>
      <c r="E150" t="s">
        <v>977</v>
      </c>
      <c r="F150" t="s">
        <v>47</v>
      </c>
      <c r="I150" t="s">
        <v>254</v>
      </c>
      <c r="K150" s="2">
        <v>46213.489382870401</v>
      </c>
      <c r="L150" s="2">
        <v>46221.333345370404</v>
      </c>
      <c r="M150" t="s">
        <v>76</v>
      </c>
      <c r="N150" t="s">
        <v>77</v>
      </c>
      <c r="O150" t="s">
        <v>54</v>
      </c>
      <c r="P150" t="s">
        <v>55</v>
      </c>
      <c r="Q150" t="s">
        <v>161</v>
      </c>
      <c r="S150" t="s">
        <v>68</v>
      </c>
      <c r="V150" t="s">
        <v>59</v>
      </c>
      <c r="W150" t="s">
        <v>90</v>
      </c>
      <c r="X150" t="s">
        <v>61</v>
      </c>
      <c r="Y150" t="s">
        <v>47</v>
      </c>
      <c r="AA150" t="s">
        <v>978</v>
      </c>
      <c r="AF150" t="s">
        <v>92</v>
      </c>
      <c r="AI150" t="s">
        <v>551</v>
      </c>
      <c r="AJ150" t="s">
        <v>68</v>
      </c>
      <c r="AK150" t="s">
        <v>82</v>
      </c>
      <c r="AL150" t="s">
        <v>70</v>
      </c>
      <c r="AM150">
        <v>10</v>
      </c>
      <c r="AN150">
        <v>2026</v>
      </c>
      <c r="AO150" t="s">
        <v>71</v>
      </c>
      <c r="AP150">
        <v>18</v>
      </c>
      <c r="AQ150" t="s">
        <v>71</v>
      </c>
    </row>
    <row r="151" spans="1:43" x14ac:dyDescent="0.25">
      <c r="A151">
        <v>150</v>
      </c>
      <c r="B151" t="s">
        <v>249</v>
      </c>
      <c r="C151" t="s">
        <v>979</v>
      </c>
      <c r="D151" t="s">
        <v>980</v>
      </c>
      <c r="E151" t="s">
        <v>981</v>
      </c>
      <c r="F151" t="s">
        <v>47</v>
      </c>
      <c r="I151" t="s">
        <v>254</v>
      </c>
      <c r="K151" s="2">
        <v>46213.492082905097</v>
      </c>
      <c r="L151" s="2">
        <v>46213.503524155101</v>
      </c>
      <c r="M151" t="s">
        <v>76</v>
      </c>
      <c r="N151" t="s">
        <v>77</v>
      </c>
      <c r="O151" t="s">
        <v>54</v>
      </c>
      <c r="P151" t="s">
        <v>55</v>
      </c>
      <c r="Q151" t="s">
        <v>89</v>
      </c>
      <c r="R151" t="s">
        <v>57</v>
      </c>
      <c r="S151" t="s">
        <v>68</v>
      </c>
      <c r="V151" t="s">
        <v>59</v>
      </c>
      <c r="W151" t="s">
        <v>90</v>
      </c>
      <c r="X151" t="s">
        <v>61</v>
      </c>
      <c r="Y151" t="s">
        <v>47</v>
      </c>
      <c r="AA151" t="s">
        <v>982</v>
      </c>
      <c r="AF151" t="s">
        <v>92</v>
      </c>
      <c r="AI151" t="s">
        <v>551</v>
      </c>
      <c r="AJ151" t="s">
        <v>68</v>
      </c>
      <c r="AK151" t="s">
        <v>82</v>
      </c>
      <c r="AL151" t="s">
        <v>70</v>
      </c>
      <c r="AM151">
        <v>10</v>
      </c>
      <c r="AN151">
        <v>2026</v>
      </c>
      <c r="AO151" t="s">
        <v>71</v>
      </c>
      <c r="AP151">
        <v>10</v>
      </c>
      <c r="AQ151" t="s">
        <v>71</v>
      </c>
    </row>
    <row r="152" spans="1:43" x14ac:dyDescent="0.25">
      <c r="A152">
        <v>151</v>
      </c>
      <c r="B152" t="s">
        <v>400</v>
      </c>
      <c r="C152" t="s">
        <v>983</v>
      </c>
      <c r="D152" t="s">
        <v>984</v>
      </c>
      <c r="E152" t="s">
        <v>985</v>
      </c>
      <c r="F152" t="s">
        <v>47</v>
      </c>
      <c r="G152" t="s">
        <v>986</v>
      </c>
      <c r="H152" t="s">
        <v>987</v>
      </c>
      <c r="I152" t="s">
        <v>404</v>
      </c>
      <c r="J152" t="s">
        <v>51</v>
      </c>
      <c r="K152" s="2">
        <v>46213.5550631597</v>
      </c>
      <c r="L152" s="2">
        <v>46217.469714351901</v>
      </c>
      <c r="M152" t="s">
        <v>52</v>
      </c>
      <c r="N152" t="s">
        <v>53</v>
      </c>
      <c r="O152" t="s">
        <v>54</v>
      </c>
      <c r="P152" t="s">
        <v>88</v>
      </c>
      <c r="Q152" t="s">
        <v>218</v>
      </c>
      <c r="R152" t="s">
        <v>988</v>
      </c>
      <c r="S152" t="s">
        <v>58</v>
      </c>
      <c r="V152" t="s">
        <v>59</v>
      </c>
      <c r="W152" t="s">
        <v>90</v>
      </c>
      <c r="X152" t="s">
        <v>61</v>
      </c>
      <c r="Y152" t="s">
        <v>47</v>
      </c>
      <c r="Z152" t="s">
        <v>953</v>
      </c>
      <c r="AA152" t="s">
        <v>989</v>
      </c>
      <c r="AB152">
        <v>94350095</v>
      </c>
      <c r="AC152" t="s">
        <v>58</v>
      </c>
      <c r="AD152" s="2">
        <v>46216</v>
      </c>
      <c r="AE152" t="s">
        <v>990</v>
      </c>
      <c r="AF152" t="s">
        <v>991</v>
      </c>
      <c r="AG152" t="s">
        <v>66</v>
      </c>
      <c r="AI152" t="s">
        <v>67</v>
      </c>
      <c r="AJ152" t="s">
        <v>68</v>
      </c>
      <c r="AK152" t="s">
        <v>69</v>
      </c>
      <c r="AL152" t="s">
        <v>70</v>
      </c>
      <c r="AM152">
        <v>10</v>
      </c>
      <c r="AN152">
        <v>2026</v>
      </c>
      <c r="AO152" t="s">
        <v>71</v>
      </c>
      <c r="AP152">
        <v>14</v>
      </c>
      <c r="AQ152" t="s">
        <v>71</v>
      </c>
    </row>
    <row r="153" spans="1:43" x14ac:dyDescent="0.25">
      <c r="A153">
        <v>152</v>
      </c>
      <c r="B153" t="s">
        <v>99</v>
      </c>
      <c r="C153" t="s">
        <v>836</v>
      </c>
      <c r="D153" t="s">
        <v>992</v>
      </c>
      <c r="E153" t="s">
        <v>993</v>
      </c>
      <c r="F153" t="s">
        <v>47</v>
      </c>
      <c r="G153" t="s">
        <v>994</v>
      </c>
      <c r="H153" t="s">
        <v>995</v>
      </c>
      <c r="I153" t="s">
        <v>839</v>
      </c>
      <c r="J153" t="s">
        <v>295</v>
      </c>
      <c r="K153" s="2">
        <v>46214.391479050901</v>
      </c>
      <c r="L153" s="2">
        <v>46219.526665393503</v>
      </c>
      <c r="M153" t="s">
        <v>52</v>
      </c>
      <c r="N153" t="s">
        <v>53</v>
      </c>
      <c r="O153" t="s">
        <v>54</v>
      </c>
      <c r="P153" t="s">
        <v>840</v>
      </c>
      <c r="Q153" t="s">
        <v>154</v>
      </c>
      <c r="R153" t="s">
        <v>57</v>
      </c>
      <c r="S153" t="s">
        <v>58</v>
      </c>
      <c r="V153" t="s">
        <v>59</v>
      </c>
      <c r="W153" t="s">
        <v>90</v>
      </c>
      <c r="X153" t="s">
        <v>61</v>
      </c>
      <c r="Y153" t="s">
        <v>47</v>
      </c>
      <c r="Z153" t="s">
        <v>176</v>
      </c>
      <c r="AA153" t="s">
        <v>841</v>
      </c>
      <c r="AB153">
        <v>267878500</v>
      </c>
      <c r="AC153" t="s">
        <v>58</v>
      </c>
      <c r="AD153" s="2">
        <v>46216</v>
      </c>
      <c r="AE153" t="s">
        <v>996</v>
      </c>
      <c r="AF153" t="s">
        <v>92</v>
      </c>
      <c r="AG153" t="s">
        <v>66</v>
      </c>
      <c r="AI153" t="s">
        <v>842</v>
      </c>
      <c r="AJ153" t="s">
        <v>68</v>
      </c>
      <c r="AK153" t="s">
        <v>69</v>
      </c>
      <c r="AL153" t="s">
        <v>70</v>
      </c>
      <c r="AM153">
        <v>11</v>
      </c>
      <c r="AN153">
        <v>2026</v>
      </c>
      <c r="AO153" t="s">
        <v>71</v>
      </c>
      <c r="AP153">
        <v>16</v>
      </c>
      <c r="AQ153" t="s">
        <v>71</v>
      </c>
    </row>
    <row r="154" spans="1:43" x14ac:dyDescent="0.25">
      <c r="A154">
        <v>153</v>
      </c>
      <c r="B154" t="s">
        <v>106</v>
      </c>
      <c r="C154" t="s">
        <v>997</v>
      </c>
      <c r="D154" t="s">
        <v>998</v>
      </c>
      <c r="E154" t="s">
        <v>999</v>
      </c>
      <c r="F154" t="s">
        <v>47</v>
      </c>
      <c r="I154" t="s">
        <v>112</v>
      </c>
      <c r="K154" s="2">
        <v>46214.992101157397</v>
      </c>
      <c r="L154" s="2">
        <v>46223.333348495398</v>
      </c>
      <c r="M154" t="s">
        <v>76</v>
      </c>
      <c r="N154" t="s">
        <v>77</v>
      </c>
      <c r="O154" t="s">
        <v>54</v>
      </c>
      <c r="P154" t="s">
        <v>55</v>
      </c>
      <c r="Q154" t="s">
        <v>113</v>
      </c>
      <c r="S154" t="s">
        <v>68</v>
      </c>
      <c r="V154" t="s">
        <v>59</v>
      </c>
      <c r="W154" t="s">
        <v>60</v>
      </c>
      <c r="X154" t="s">
        <v>61</v>
      </c>
      <c r="Y154" t="s">
        <v>47</v>
      </c>
      <c r="AA154" t="s">
        <v>1000</v>
      </c>
      <c r="AF154" t="s">
        <v>1001</v>
      </c>
      <c r="AI154" t="s">
        <v>475</v>
      </c>
      <c r="AJ154" t="s">
        <v>68</v>
      </c>
      <c r="AK154" t="s">
        <v>82</v>
      </c>
      <c r="AL154" t="s">
        <v>70</v>
      </c>
      <c r="AM154">
        <v>11</v>
      </c>
      <c r="AN154">
        <v>2026</v>
      </c>
      <c r="AO154" t="s">
        <v>71</v>
      </c>
      <c r="AP154">
        <v>20</v>
      </c>
      <c r="AQ154" t="s">
        <v>71</v>
      </c>
    </row>
    <row r="155" spans="1:43" x14ac:dyDescent="0.25">
      <c r="A155">
        <v>154</v>
      </c>
      <c r="B155" t="s">
        <v>345</v>
      </c>
      <c r="C155" t="s">
        <v>1002</v>
      </c>
      <c r="D155" t="s">
        <v>1003</v>
      </c>
      <c r="E155" t="s">
        <v>1004</v>
      </c>
      <c r="F155" t="s">
        <v>47</v>
      </c>
      <c r="I155" t="s">
        <v>351</v>
      </c>
      <c r="K155" s="2">
        <v>46214.000195405097</v>
      </c>
      <c r="L155" s="2">
        <v>46222.333345868101</v>
      </c>
      <c r="M155" t="s">
        <v>76</v>
      </c>
      <c r="N155" t="s">
        <v>77</v>
      </c>
      <c r="O155" t="s">
        <v>54</v>
      </c>
      <c r="P155" t="s">
        <v>55</v>
      </c>
      <c r="Q155" t="s">
        <v>185</v>
      </c>
      <c r="S155" t="s">
        <v>68</v>
      </c>
      <c r="V155" t="s">
        <v>59</v>
      </c>
      <c r="W155" t="s">
        <v>90</v>
      </c>
      <c r="X155" t="s">
        <v>61</v>
      </c>
      <c r="Y155" t="s">
        <v>47</v>
      </c>
      <c r="AA155" t="s">
        <v>1005</v>
      </c>
      <c r="AF155" t="s">
        <v>117</v>
      </c>
      <c r="AI155" t="s">
        <v>1006</v>
      </c>
      <c r="AJ155" t="s">
        <v>68</v>
      </c>
      <c r="AK155" t="s">
        <v>82</v>
      </c>
      <c r="AL155" t="s">
        <v>70</v>
      </c>
      <c r="AM155">
        <v>11</v>
      </c>
      <c r="AN155">
        <v>2026</v>
      </c>
      <c r="AO155" t="s">
        <v>71</v>
      </c>
      <c r="AP155">
        <v>19</v>
      </c>
      <c r="AQ155" t="s">
        <v>71</v>
      </c>
    </row>
    <row r="156" spans="1:43" x14ac:dyDescent="0.25">
      <c r="A156">
        <v>155</v>
      </c>
      <c r="B156" t="s">
        <v>141</v>
      </c>
      <c r="C156" t="s">
        <v>1007</v>
      </c>
      <c r="D156" t="s">
        <v>1008</v>
      </c>
      <c r="E156" t="s">
        <v>1009</v>
      </c>
      <c r="F156" t="s">
        <v>47</v>
      </c>
      <c r="I156" t="s">
        <v>145</v>
      </c>
      <c r="K156" s="2">
        <v>46214.304585960701</v>
      </c>
      <c r="L156" s="2">
        <v>46214.312564895801</v>
      </c>
      <c r="M156" t="s">
        <v>76</v>
      </c>
      <c r="N156" t="s">
        <v>77</v>
      </c>
      <c r="O156" t="s">
        <v>54</v>
      </c>
      <c r="P156" t="s">
        <v>1010</v>
      </c>
      <c r="Q156" t="s">
        <v>405</v>
      </c>
      <c r="R156" t="s">
        <v>57</v>
      </c>
      <c r="S156" t="s">
        <v>68</v>
      </c>
      <c r="V156" t="s">
        <v>59</v>
      </c>
      <c r="W156" t="s">
        <v>90</v>
      </c>
      <c r="X156" t="s">
        <v>61</v>
      </c>
      <c r="Y156" t="s">
        <v>47</v>
      </c>
      <c r="AA156" t="s">
        <v>1011</v>
      </c>
      <c r="AF156" t="s">
        <v>1012</v>
      </c>
      <c r="AI156" t="s">
        <v>654</v>
      </c>
      <c r="AJ156" t="s">
        <v>68</v>
      </c>
      <c r="AK156" t="s">
        <v>82</v>
      </c>
      <c r="AL156" t="s">
        <v>70</v>
      </c>
      <c r="AM156">
        <v>11</v>
      </c>
      <c r="AN156">
        <v>2026</v>
      </c>
      <c r="AO156" t="s">
        <v>71</v>
      </c>
      <c r="AP156">
        <v>11</v>
      </c>
      <c r="AQ156" t="s">
        <v>71</v>
      </c>
    </row>
    <row r="157" spans="1:43" x14ac:dyDescent="0.25">
      <c r="A157">
        <v>156</v>
      </c>
      <c r="B157" t="s">
        <v>141</v>
      </c>
      <c r="C157" t="s">
        <v>1013</v>
      </c>
      <c r="D157" t="s">
        <v>1014</v>
      </c>
      <c r="E157" t="s">
        <v>1015</v>
      </c>
      <c r="F157" t="s">
        <v>47</v>
      </c>
      <c r="I157" t="s">
        <v>145</v>
      </c>
      <c r="K157" s="2">
        <v>46214.308006944397</v>
      </c>
      <c r="L157" s="2">
        <v>46222.333345868101</v>
      </c>
      <c r="M157" t="s">
        <v>76</v>
      </c>
      <c r="N157" t="s">
        <v>77</v>
      </c>
      <c r="O157" t="s">
        <v>54</v>
      </c>
      <c r="P157" t="s">
        <v>1016</v>
      </c>
      <c r="Q157" t="s">
        <v>161</v>
      </c>
      <c r="S157" t="s">
        <v>68</v>
      </c>
      <c r="V157" t="s">
        <v>59</v>
      </c>
      <c r="W157" t="s">
        <v>90</v>
      </c>
      <c r="X157" t="s">
        <v>61</v>
      </c>
      <c r="Y157" t="s">
        <v>47</v>
      </c>
      <c r="AA157" t="s">
        <v>1017</v>
      </c>
      <c r="AF157" t="s">
        <v>1018</v>
      </c>
      <c r="AI157" t="s">
        <v>449</v>
      </c>
      <c r="AJ157" t="s">
        <v>68</v>
      </c>
      <c r="AK157" t="s">
        <v>82</v>
      </c>
      <c r="AL157" t="s">
        <v>70</v>
      </c>
      <c r="AM157">
        <v>11</v>
      </c>
      <c r="AN157">
        <v>2026</v>
      </c>
      <c r="AO157" t="s">
        <v>71</v>
      </c>
      <c r="AP157">
        <v>19</v>
      </c>
      <c r="AQ157" t="s">
        <v>71</v>
      </c>
    </row>
    <row r="158" spans="1:43" x14ac:dyDescent="0.25">
      <c r="A158">
        <v>157</v>
      </c>
      <c r="B158" t="s">
        <v>43</v>
      </c>
      <c r="C158" t="s">
        <v>1019</v>
      </c>
      <c r="D158" t="s">
        <v>1020</v>
      </c>
      <c r="E158" t="s">
        <v>1021</v>
      </c>
      <c r="F158" t="s">
        <v>274</v>
      </c>
      <c r="G158" t="s">
        <v>1022</v>
      </c>
      <c r="H158" t="s">
        <v>1023</v>
      </c>
      <c r="I158" t="s">
        <v>50</v>
      </c>
      <c r="J158" t="s">
        <v>51</v>
      </c>
      <c r="K158" s="2">
        <v>46216.528272025498</v>
      </c>
      <c r="L158" s="2">
        <v>46218.692565590303</v>
      </c>
      <c r="M158" t="s">
        <v>52</v>
      </c>
      <c r="N158" t="s">
        <v>53</v>
      </c>
      <c r="O158" t="s">
        <v>54</v>
      </c>
      <c r="P158" t="s">
        <v>78</v>
      </c>
      <c r="Q158" t="s">
        <v>185</v>
      </c>
      <c r="R158" t="s">
        <v>57</v>
      </c>
      <c r="S158" t="s">
        <v>481</v>
      </c>
      <c r="V158" t="s">
        <v>59</v>
      </c>
      <c r="W158" t="s">
        <v>60</v>
      </c>
      <c r="X158" t="s">
        <v>61</v>
      </c>
      <c r="Y158" t="s">
        <v>274</v>
      </c>
      <c r="Z158" t="s">
        <v>482</v>
      </c>
      <c r="AA158" t="s">
        <v>1024</v>
      </c>
      <c r="AB158">
        <v>81738500</v>
      </c>
      <c r="AC158" t="s">
        <v>481</v>
      </c>
      <c r="AD158" s="2">
        <v>46218</v>
      </c>
      <c r="AE158" t="s">
        <v>1025</v>
      </c>
      <c r="AF158" t="s">
        <v>1025</v>
      </c>
      <c r="AG158" t="s">
        <v>66</v>
      </c>
      <c r="AK158" t="s">
        <v>69</v>
      </c>
      <c r="AL158" t="s">
        <v>277</v>
      </c>
      <c r="AM158">
        <v>13</v>
      </c>
      <c r="AN158">
        <v>2026</v>
      </c>
      <c r="AO158" t="s">
        <v>71</v>
      </c>
      <c r="AP158">
        <v>15</v>
      </c>
      <c r="AQ158" t="s">
        <v>71</v>
      </c>
    </row>
    <row r="159" spans="1:43" x14ac:dyDescent="0.25">
      <c r="A159">
        <v>158</v>
      </c>
      <c r="B159" t="s">
        <v>43</v>
      </c>
      <c r="C159" t="s">
        <v>1026</v>
      </c>
      <c r="D159" t="s">
        <v>1027</v>
      </c>
      <c r="E159" t="s">
        <v>1028</v>
      </c>
      <c r="F159" t="s">
        <v>274</v>
      </c>
      <c r="I159" t="s">
        <v>50</v>
      </c>
      <c r="K159" s="2">
        <v>46216.620857326401</v>
      </c>
      <c r="L159" s="2">
        <v>46217.291846990702</v>
      </c>
      <c r="M159" t="s">
        <v>76</v>
      </c>
      <c r="N159" t="s">
        <v>77</v>
      </c>
      <c r="O159" t="s">
        <v>54</v>
      </c>
      <c r="P159" t="s">
        <v>78</v>
      </c>
      <c r="Q159" t="s">
        <v>126</v>
      </c>
      <c r="R159" t="s">
        <v>57</v>
      </c>
      <c r="S159" t="s">
        <v>68</v>
      </c>
      <c r="V159" t="s">
        <v>59</v>
      </c>
      <c r="W159" t="s">
        <v>60</v>
      </c>
      <c r="X159" t="s">
        <v>61</v>
      </c>
      <c r="Y159" t="s">
        <v>274</v>
      </c>
      <c r="AA159" t="s">
        <v>1029</v>
      </c>
      <c r="AF159" t="s">
        <v>1030</v>
      </c>
      <c r="AK159" t="s">
        <v>82</v>
      </c>
      <c r="AL159" t="s">
        <v>277</v>
      </c>
      <c r="AM159">
        <v>13</v>
      </c>
      <c r="AN159">
        <v>2026</v>
      </c>
      <c r="AO159" t="s">
        <v>71</v>
      </c>
      <c r="AP159">
        <v>14</v>
      </c>
      <c r="AQ159" t="s">
        <v>71</v>
      </c>
    </row>
    <row r="160" spans="1:43" x14ac:dyDescent="0.25">
      <c r="A160">
        <v>159</v>
      </c>
      <c r="B160" t="s">
        <v>43</v>
      </c>
      <c r="C160" t="s">
        <v>1026</v>
      </c>
      <c r="D160" t="s">
        <v>1031</v>
      </c>
      <c r="E160" t="s">
        <v>1032</v>
      </c>
      <c r="F160" t="s">
        <v>274</v>
      </c>
      <c r="G160" t="s">
        <v>1033</v>
      </c>
      <c r="H160" t="s">
        <v>1034</v>
      </c>
      <c r="I160" t="s">
        <v>50</v>
      </c>
      <c r="J160" t="s">
        <v>51</v>
      </c>
      <c r="K160" s="2">
        <v>46216.6936019676</v>
      </c>
      <c r="L160" s="2">
        <v>46221.2699621875</v>
      </c>
      <c r="M160" t="s">
        <v>52</v>
      </c>
      <c r="N160" t="s">
        <v>53</v>
      </c>
      <c r="O160" t="s">
        <v>54</v>
      </c>
      <c r="P160" t="s">
        <v>78</v>
      </c>
      <c r="Q160" t="s">
        <v>126</v>
      </c>
      <c r="R160" t="s">
        <v>57</v>
      </c>
      <c r="S160" t="s">
        <v>58</v>
      </c>
      <c r="V160" t="s">
        <v>59</v>
      </c>
      <c r="W160" t="s">
        <v>60</v>
      </c>
      <c r="X160" t="s">
        <v>61</v>
      </c>
      <c r="Y160" t="s">
        <v>274</v>
      </c>
      <c r="Z160" t="s">
        <v>482</v>
      </c>
      <c r="AA160" t="s">
        <v>1029</v>
      </c>
      <c r="AB160">
        <v>88541000</v>
      </c>
      <c r="AC160" t="s">
        <v>58</v>
      </c>
      <c r="AD160" s="2">
        <v>46220</v>
      </c>
      <c r="AE160" t="s">
        <v>1030</v>
      </c>
      <c r="AF160" t="s">
        <v>1030</v>
      </c>
      <c r="AG160" t="s">
        <v>66</v>
      </c>
      <c r="AK160" t="s">
        <v>69</v>
      </c>
      <c r="AL160" t="s">
        <v>277</v>
      </c>
      <c r="AM160">
        <v>13</v>
      </c>
      <c r="AN160">
        <v>2026</v>
      </c>
      <c r="AO160" t="s">
        <v>71</v>
      </c>
      <c r="AP160">
        <v>18</v>
      </c>
      <c r="AQ160" t="s">
        <v>71</v>
      </c>
    </row>
    <row r="161" spans="1:43" x14ac:dyDescent="0.25">
      <c r="A161">
        <v>160</v>
      </c>
      <c r="B161" t="s">
        <v>43</v>
      </c>
      <c r="C161" t="s">
        <v>1035</v>
      </c>
      <c r="D161" t="s">
        <v>1036</v>
      </c>
      <c r="E161" t="s">
        <v>1037</v>
      </c>
      <c r="F161" t="s">
        <v>47</v>
      </c>
      <c r="G161" t="s">
        <v>1038</v>
      </c>
      <c r="H161" t="s">
        <v>1039</v>
      </c>
      <c r="I161" t="s">
        <v>50</v>
      </c>
      <c r="J161" t="s">
        <v>51</v>
      </c>
      <c r="K161" s="2">
        <v>46216.994546562499</v>
      </c>
      <c r="L161" s="2">
        <v>46222.961052048602</v>
      </c>
      <c r="M161" t="s">
        <v>52</v>
      </c>
      <c r="N161" t="s">
        <v>53</v>
      </c>
      <c r="O161" t="s">
        <v>54</v>
      </c>
      <c r="P161" t="s">
        <v>55</v>
      </c>
      <c r="Q161" t="s">
        <v>405</v>
      </c>
      <c r="R161" t="s">
        <v>707</v>
      </c>
      <c r="S161" t="s">
        <v>58</v>
      </c>
      <c r="V161" t="s">
        <v>59</v>
      </c>
      <c r="W161" t="s">
        <v>60</v>
      </c>
      <c r="X161" t="s">
        <v>61</v>
      </c>
      <c r="Y161" t="s">
        <v>47</v>
      </c>
      <c r="Z161" t="s">
        <v>62</v>
      </c>
      <c r="AA161" t="s">
        <v>961</v>
      </c>
      <c r="AB161">
        <v>556371000</v>
      </c>
      <c r="AC161" t="s">
        <v>58</v>
      </c>
      <c r="AD161" s="2">
        <v>46219</v>
      </c>
      <c r="AE161" t="s">
        <v>1040</v>
      </c>
      <c r="AF161" t="s">
        <v>1041</v>
      </c>
      <c r="AG161" t="s">
        <v>66</v>
      </c>
      <c r="AI161" t="s">
        <v>686</v>
      </c>
      <c r="AJ161" t="s">
        <v>68</v>
      </c>
      <c r="AK161" t="s">
        <v>69</v>
      </c>
      <c r="AL161" t="s">
        <v>70</v>
      </c>
      <c r="AM161">
        <v>13</v>
      </c>
      <c r="AN161">
        <v>2026</v>
      </c>
      <c r="AO161" t="s">
        <v>71</v>
      </c>
      <c r="AP161">
        <v>19</v>
      </c>
      <c r="AQ161" t="s">
        <v>71</v>
      </c>
    </row>
    <row r="162" spans="1:43" x14ac:dyDescent="0.25">
      <c r="A162">
        <v>161</v>
      </c>
      <c r="B162" t="s">
        <v>83</v>
      </c>
      <c r="C162" t="s">
        <v>1042</v>
      </c>
      <c r="D162" t="s">
        <v>1043</v>
      </c>
      <c r="E162" t="s">
        <v>1044</v>
      </c>
      <c r="F162" t="s">
        <v>47</v>
      </c>
      <c r="I162" t="s">
        <v>193</v>
      </c>
      <c r="K162" s="2">
        <v>46216.394528124998</v>
      </c>
      <c r="L162" s="2">
        <v>46216.410741354201</v>
      </c>
      <c r="M162" t="s">
        <v>76</v>
      </c>
      <c r="N162" t="s">
        <v>77</v>
      </c>
      <c r="O162" t="s">
        <v>54</v>
      </c>
      <c r="P162" t="s">
        <v>55</v>
      </c>
      <c r="Q162" t="s">
        <v>56</v>
      </c>
      <c r="R162" t="s">
        <v>57</v>
      </c>
      <c r="S162" t="s">
        <v>68</v>
      </c>
      <c r="V162" t="s">
        <v>59</v>
      </c>
      <c r="W162" t="s">
        <v>90</v>
      </c>
      <c r="X162" t="s">
        <v>61</v>
      </c>
      <c r="Y162" t="s">
        <v>47</v>
      </c>
      <c r="AA162" t="s">
        <v>1045</v>
      </c>
      <c r="AF162" t="s">
        <v>195</v>
      </c>
      <c r="AI162" t="s">
        <v>431</v>
      </c>
      <c r="AJ162" t="s">
        <v>68</v>
      </c>
      <c r="AK162" t="s">
        <v>82</v>
      </c>
      <c r="AL162" t="s">
        <v>70</v>
      </c>
      <c r="AM162">
        <v>13</v>
      </c>
      <c r="AN162">
        <v>2026</v>
      </c>
      <c r="AO162" t="s">
        <v>71</v>
      </c>
      <c r="AP162">
        <v>13</v>
      </c>
      <c r="AQ162" t="s">
        <v>71</v>
      </c>
    </row>
    <row r="163" spans="1:43" x14ac:dyDescent="0.25">
      <c r="A163">
        <v>162</v>
      </c>
      <c r="B163" t="s">
        <v>83</v>
      </c>
      <c r="C163" t="s">
        <v>1046</v>
      </c>
      <c r="D163" t="s">
        <v>1047</v>
      </c>
      <c r="E163" t="s">
        <v>1048</v>
      </c>
      <c r="F163" t="s">
        <v>75</v>
      </c>
      <c r="I163" t="s">
        <v>193</v>
      </c>
      <c r="K163" s="2">
        <v>46216.399144942101</v>
      </c>
      <c r="L163" s="2">
        <v>46224.333344097198</v>
      </c>
      <c r="M163" t="s">
        <v>76</v>
      </c>
      <c r="N163" t="s">
        <v>77</v>
      </c>
      <c r="O163" t="s">
        <v>54</v>
      </c>
      <c r="P163" t="s">
        <v>78</v>
      </c>
      <c r="Q163" t="s">
        <v>56</v>
      </c>
      <c r="S163" t="s">
        <v>68</v>
      </c>
      <c r="V163" t="s">
        <v>59</v>
      </c>
      <c r="W163" t="s">
        <v>90</v>
      </c>
      <c r="X163" t="s">
        <v>61</v>
      </c>
      <c r="Y163" t="s">
        <v>75</v>
      </c>
      <c r="AA163" t="s">
        <v>1049</v>
      </c>
      <c r="AF163" t="s">
        <v>195</v>
      </c>
      <c r="AK163" t="s">
        <v>82</v>
      </c>
      <c r="AL163" t="s">
        <v>70</v>
      </c>
      <c r="AM163">
        <v>13</v>
      </c>
      <c r="AN163">
        <v>2026</v>
      </c>
      <c r="AO163" t="s">
        <v>71</v>
      </c>
      <c r="AP163">
        <v>21</v>
      </c>
      <c r="AQ163" t="s">
        <v>71</v>
      </c>
    </row>
    <row r="164" spans="1:43" x14ac:dyDescent="0.25">
      <c r="A164">
        <v>163</v>
      </c>
      <c r="B164" t="s">
        <v>83</v>
      </c>
      <c r="C164" t="s">
        <v>303</v>
      </c>
      <c r="D164" t="s">
        <v>1050</v>
      </c>
      <c r="E164" t="s">
        <v>1051</v>
      </c>
      <c r="F164" t="s">
        <v>47</v>
      </c>
      <c r="G164" t="s">
        <v>1052</v>
      </c>
      <c r="H164" t="s">
        <v>1053</v>
      </c>
      <c r="I164" t="s">
        <v>193</v>
      </c>
      <c r="J164" t="s">
        <v>51</v>
      </c>
      <c r="K164" s="2">
        <v>46216.482919675902</v>
      </c>
      <c r="L164" s="2">
        <v>46219.642732835702</v>
      </c>
      <c r="M164" t="s">
        <v>52</v>
      </c>
      <c r="N164" t="s">
        <v>53</v>
      </c>
      <c r="O164" t="s">
        <v>54</v>
      </c>
      <c r="P164" t="s">
        <v>55</v>
      </c>
      <c r="Q164" t="s">
        <v>79</v>
      </c>
      <c r="R164" t="s">
        <v>306</v>
      </c>
      <c r="S164" t="s">
        <v>58</v>
      </c>
      <c r="V164" t="s">
        <v>59</v>
      </c>
      <c r="W164" t="s">
        <v>90</v>
      </c>
      <c r="X164" t="s">
        <v>61</v>
      </c>
      <c r="Y164" t="s">
        <v>47</v>
      </c>
      <c r="Z164" t="s">
        <v>62</v>
      </c>
      <c r="AA164" t="s">
        <v>307</v>
      </c>
      <c r="AB164">
        <v>148721000</v>
      </c>
      <c r="AC164" t="s">
        <v>58</v>
      </c>
      <c r="AD164" s="2">
        <v>46218</v>
      </c>
      <c r="AE164" t="s">
        <v>1054</v>
      </c>
      <c r="AF164" t="s">
        <v>195</v>
      </c>
      <c r="AG164" t="s">
        <v>66</v>
      </c>
      <c r="AI164" t="s">
        <v>308</v>
      </c>
      <c r="AJ164" t="s">
        <v>68</v>
      </c>
      <c r="AK164" t="s">
        <v>69</v>
      </c>
      <c r="AL164" t="s">
        <v>70</v>
      </c>
      <c r="AM164">
        <v>13</v>
      </c>
      <c r="AN164">
        <v>2026</v>
      </c>
      <c r="AO164" t="s">
        <v>71</v>
      </c>
      <c r="AP164">
        <v>16</v>
      </c>
      <c r="AQ164" t="s">
        <v>71</v>
      </c>
    </row>
    <row r="165" spans="1:43" x14ac:dyDescent="0.25">
      <c r="A165">
        <v>164</v>
      </c>
      <c r="B165" t="s">
        <v>83</v>
      </c>
      <c r="C165" t="s">
        <v>1055</v>
      </c>
      <c r="D165" t="s">
        <v>1056</v>
      </c>
      <c r="E165" t="s">
        <v>1057</v>
      </c>
      <c r="F165" t="s">
        <v>47</v>
      </c>
      <c r="H165" t="s">
        <v>1058</v>
      </c>
      <c r="I165" t="s">
        <v>87</v>
      </c>
      <c r="J165" t="s">
        <v>295</v>
      </c>
      <c r="K165" s="2">
        <v>46216.7684188657</v>
      </c>
      <c r="L165" s="2">
        <v>46219.690763888902</v>
      </c>
      <c r="M165" t="s">
        <v>241</v>
      </c>
      <c r="N165" t="s">
        <v>242</v>
      </c>
      <c r="O165" t="s">
        <v>54</v>
      </c>
      <c r="P165" t="s">
        <v>55</v>
      </c>
      <c r="Q165" t="s">
        <v>161</v>
      </c>
      <c r="R165" t="s">
        <v>57</v>
      </c>
      <c r="S165" t="s">
        <v>58</v>
      </c>
      <c r="V165" t="s">
        <v>59</v>
      </c>
      <c r="W165" t="s">
        <v>90</v>
      </c>
      <c r="X165" t="s">
        <v>61</v>
      </c>
      <c r="Y165" t="s">
        <v>47</v>
      </c>
      <c r="Z165" t="s">
        <v>255</v>
      </c>
      <c r="AA165" t="s">
        <v>1059</v>
      </c>
      <c r="AC165" t="s">
        <v>58</v>
      </c>
      <c r="AD165" s="2">
        <v>46219</v>
      </c>
      <c r="AE165" t="s">
        <v>92</v>
      </c>
      <c r="AF165" t="s">
        <v>92</v>
      </c>
      <c r="AG165" t="s">
        <v>365</v>
      </c>
      <c r="AI165" t="s">
        <v>168</v>
      </c>
      <c r="AJ165" t="s">
        <v>68</v>
      </c>
      <c r="AK165" t="s">
        <v>248</v>
      </c>
      <c r="AL165" t="s">
        <v>70</v>
      </c>
      <c r="AM165">
        <v>13</v>
      </c>
      <c r="AN165">
        <v>2026</v>
      </c>
      <c r="AO165" t="s">
        <v>71</v>
      </c>
      <c r="AP165">
        <v>16</v>
      </c>
      <c r="AQ165" t="s">
        <v>71</v>
      </c>
    </row>
    <row r="166" spans="1:43" x14ac:dyDescent="0.25">
      <c r="A166">
        <v>165</v>
      </c>
      <c r="B166" t="s">
        <v>106</v>
      </c>
      <c r="C166" t="s">
        <v>1060</v>
      </c>
      <c r="D166" t="s">
        <v>1061</v>
      </c>
      <c r="E166" t="s">
        <v>1062</v>
      </c>
      <c r="F166" t="s">
        <v>274</v>
      </c>
      <c r="H166" t="s">
        <v>1063</v>
      </c>
      <c r="I166" t="s">
        <v>112</v>
      </c>
      <c r="J166" t="s">
        <v>51</v>
      </c>
      <c r="K166" s="2">
        <v>46216.451719988399</v>
      </c>
      <c r="L166" s="2">
        <v>46220.6573846065</v>
      </c>
      <c r="M166" t="s">
        <v>241</v>
      </c>
      <c r="N166" t="s">
        <v>242</v>
      </c>
      <c r="O166" t="s">
        <v>54</v>
      </c>
      <c r="P166" t="s">
        <v>160</v>
      </c>
      <c r="Q166" t="s">
        <v>161</v>
      </c>
      <c r="R166" t="s">
        <v>57</v>
      </c>
      <c r="S166" t="s">
        <v>58</v>
      </c>
      <c r="V166" t="s">
        <v>59</v>
      </c>
      <c r="W166" t="s">
        <v>60</v>
      </c>
      <c r="X166" t="s">
        <v>61</v>
      </c>
      <c r="Y166" t="s">
        <v>274</v>
      </c>
      <c r="Z166" t="s">
        <v>482</v>
      </c>
      <c r="AA166" t="s">
        <v>1064</v>
      </c>
      <c r="AC166" t="s">
        <v>58</v>
      </c>
      <c r="AD166" s="2">
        <v>46219</v>
      </c>
      <c r="AE166" t="s">
        <v>65</v>
      </c>
      <c r="AF166" t="s">
        <v>117</v>
      </c>
      <c r="AG166" t="s">
        <v>246</v>
      </c>
      <c r="AK166" t="s">
        <v>248</v>
      </c>
      <c r="AL166" t="s">
        <v>277</v>
      </c>
      <c r="AM166">
        <v>13</v>
      </c>
      <c r="AN166">
        <v>2026</v>
      </c>
      <c r="AO166" t="s">
        <v>71</v>
      </c>
      <c r="AP166">
        <v>17</v>
      </c>
      <c r="AQ166" t="s">
        <v>71</v>
      </c>
    </row>
    <row r="167" spans="1:43" x14ac:dyDescent="0.25">
      <c r="A167">
        <v>166</v>
      </c>
      <c r="B167" t="s">
        <v>345</v>
      </c>
      <c r="C167" t="s">
        <v>1065</v>
      </c>
      <c r="D167" t="s">
        <v>1066</v>
      </c>
      <c r="E167" t="s">
        <v>1067</v>
      </c>
      <c r="F167" t="s">
        <v>47</v>
      </c>
      <c r="I167" t="s">
        <v>351</v>
      </c>
      <c r="K167" s="2">
        <v>46216.528922106503</v>
      </c>
      <c r="L167" s="2">
        <v>46217.704818437502</v>
      </c>
      <c r="M167" t="s">
        <v>76</v>
      </c>
      <c r="N167" t="s">
        <v>77</v>
      </c>
      <c r="O167" t="s">
        <v>54</v>
      </c>
      <c r="P167" t="s">
        <v>174</v>
      </c>
      <c r="Q167" t="s">
        <v>185</v>
      </c>
      <c r="R167" t="s">
        <v>632</v>
      </c>
      <c r="S167" t="s">
        <v>68</v>
      </c>
      <c r="V167" t="s">
        <v>59</v>
      </c>
      <c r="W167" t="s">
        <v>90</v>
      </c>
      <c r="X167" t="s">
        <v>61</v>
      </c>
      <c r="Y167" t="s">
        <v>47</v>
      </c>
      <c r="AA167" t="s">
        <v>1068</v>
      </c>
      <c r="AF167" t="s">
        <v>65</v>
      </c>
      <c r="AI167" t="s">
        <v>749</v>
      </c>
      <c r="AJ167" t="s">
        <v>68</v>
      </c>
      <c r="AK167" t="s">
        <v>82</v>
      </c>
      <c r="AL167" t="s">
        <v>70</v>
      </c>
      <c r="AM167">
        <v>13</v>
      </c>
      <c r="AN167">
        <v>2026</v>
      </c>
      <c r="AO167" t="s">
        <v>71</v>
      </c>
      <c r="AP167">
        <v>14</v>
      </c>
      <c r="AQ167" t="s">
        <v>71</v>
      </c>
    </row>
    <row r="168" spans="1:43" x14ac:dyDescent="0.25">
      <c r="A168">
        <v>167</v>
      </c>
      <c r="B168" t="s">
        <v>345</v>
      </c>
      <c r="C168" t="s">
        <v>1069</v>
      </c>
      <c r="D168" t="s">
        <v>1070</v>
      </c>
      <c r="E168" t="s">
        <v>1071</v>
      </c>
      <c r="F168" t="s">
        <v>47</v>
      </c>
      <c r="I168" t="s">
        <v>435</v>
      </c>
      <c r="K168" s="2">
        <v>46216.686833993102</v>
      </c>
      <c r="L168" s="2">
        <v>46225.3333625347</v>
      </c>
      <c r="M168" t="s">
        <v>76</v>
      </c>
      <c r="N168" t="s">
        <v>77</v>
      </c>
      <c r="O168" t="s">
        <v>54</v>
      </c>
      <c r="P168" t="s">
        <v>174</v>
      </c>
      <c r="Q168" t="s">
        <v>89</v>
      </c>
      <c r="S168" t="s">
        <v>68</v>
      </c>
      <c r="V168" t="s">
        <v>59</v>
      </c>
      <c r="W168" t="s">
        <v>90</v>
      </c>
      <c r="X168" t="s">
        <v>61</v>
      </c>
      <c r="Y168" t="s">
        <v>47</v>
      </c>
      <c r="AA168" t="s">
        <v>1072</v>
      </c>
      <c r="AF168" t="s">
        <v>437</v>
      </c>
      <c r="AI168" t="s">
        <v>438</v>
      </c>
      <c r="AJ168" t="s">
        <v>68</v>
      </c>
      <c r="AK168" t="s">
        <v>82</v>
      </c>
      <c r="AL168" t="s">
        <v>70</v>
      </c>
      <c r="AM168">
        <v>13</v>
      </c>
      <c r="AN168">
        <v>2026</v>
      </c>
      <c r="AO168" t="s">
        <v>71</v>
      </c>
      <c r="AP168">
        <v>22</v>
      </c>
      <c r="AQ168" t="s">
        <v>71</v>
      </c>
    </row>
    <row r="169" spans="1:43" x14ac:dyDescent="0.25">
      <c r="A169">
        <v>168</v>
      </c>
      <c r="B169" t="s">
        <v>1073</v>
      </c>
      <c r="C169" t="s">
        <v>1074</v>
      </c>
      <c r="D169" t="s">
        <v>1075</v>
      </c>
      <c r="E169" t="s">
        <v>1076</v>
      </c>
      <c r="F169" t="s">
        <v>47</v>
      </c>
      <c r="I169" t="s">
        <v>1077</v>
      </c>
      <c r="J169" t="s">
        <v>51</v>
      </c>
      <c r="K169" s="2">
        <v>46216.402076886603</v>
      </c>
      <c r="L169" s="2">
        <v>46216.420944907397</v>
      </c>
      <c r="M169" t="s">
        <v>76</v>
      </c>
      <c r="N169" t="s">
        <v>77</v>
      </c>
      <c r="O169" t="s">
        <v>54</v>
      </c>
      <c r="P169" t="s">
        <v>160</v>
      </c>
      <c r="Q169" t="s">
        <v>175</v>
      </c>
      <c r="R169" t="s">
        <v>57</v>
      </c>
      <c r="S169" t="s">
        <v>68</v>
      </c>
      <c r="V169" t="s">
        <v>59</v>
      </c>
      <c r="W169" t="s">
        <v>60</v>
      </c>
      <c r="X169" t="s">
        <v>61</v>
      </c>
      <c r="Y169" t="s">
        <v>47</v>
      </c>
      <c r="AA169" t="s">
        <v>1078</v>
      </c>
      <c r="AF169" t="s">
        <v>65</v>
      </c>
      <c r="AG169" t="s">
        <v>246</v>
      </c>
      <c r="AI169" t="s">
        <v>1079</v>
      </c>
      <c r="AJ169" t="s">
        <v>68</v>
      </c>
      <c r="AK169" t="s">
        <v>82</v>
      </c>
      <c r="AL169" t="s">
        <v>70</v>
      </c>
      <c r="AM169">
        <v>13</v>
      </c>
      <c r="AN169">
        <v>2026</v>
      </c>
      <c r="AO169" t="s">
        <v>71</v>
      </c>
      <c r="AP169">
        <v>13</v>
      </c>
      <c r="AQ169" t="s">
        <v>71</v>
      </c>
    </row>
    <row r="170" spans="1:43" x14ac:dyDescent="0.25">
      <c r="A170">
        <v>169</v>
      </c>
      <c r="B170" t="s">
        <v>1073</v>
      </c>
      <c r="C170" t="s">
        <v>1080</v>
      </c>
      <c r="D170" t="s">
        <v>1081</v>
      </c>
      <c r="E170" t="s">
        <v>1082</v>
      </c>
      <c r="F170" t="s">
        <v>274</v>
      </c>
      <c r="G170" t="s">
        <v>1083</v>
      </c>
      <c r="H170" t="s">
        <v>1084</v>
      </c>
      <c r="I170" t="s">
        <v>1077</v>
      </c>
      <c r="J170" t="s">
        <v>51</v>
      </c>
      <c r="K170" s="2">
        <v>46216.513326886597</v>
      </c>
      <c r="L170" s="2">
        <v>46218.540341400498</v>
      </c>
      <c r="M170" t="s">
        <v>52</v>
      </c>
      <c r="N170" t="s">
        <v>53</v>
      </c>
      <c r="O170" t="s">
        <v>54</v>
      </c>
      <c r="P170" t="s">
        <v>160</v>
      </c>
      <c r="Q170" t="s">
        <v>175</v>
      </c>
      <c r="R170" t="s">
        <v>57</v>
      </c>
      <c r="S170" t="s">
        <v>58</v>
      </c>
      <c r="V170" t="s">
        <v>59</v>
      </c>
      <c r="W170" t="s">
        <v>60</v>
      </c>
      <c r="X170" t="s">
        <v>61</v>
      </c>
      <c r="Y170" t="s">
        <v>274</v>
      </c>
      <c r="Z170" t="s">
        <v>1085</v>
      </c>
      <c r="AA170" t="s">
        <v>1086</v>
      </c>
      <c r="AB170">
        <v>159611000</v>
      </c>
      <c r="AC170" t="s">
        <v>58</v>
      </c>
      <c r="AD170" s="2">
        <v>46217</v>
      </c>
      <c r="AE170" t="s">
        <v>1087</v>
      </c>
      <c r="AF170" t="s">
        <v>65</v>
      </c>
      <c r="AG170" t="s">
        <v>66</v>
      </c>
      <c r="AK170" t="s">
        <v>69</v>
      </c>
      <c r="AL170" t="s">
        <v>277</v>
      </c>
      <c r="AM170">
        <v>13</v>
      </c>
      <c r="AN170">
        <v>2026</v>
      </c>
      <c r="AO170" t="s">
        <v>71</v>
      </c>
      <c r="AP170">
        <v>15</v>
      </c>
      <c r="AQ170" t="s">
        <v>71</v>
      </c>
    </row>
    <row r="171" spans="1:43" x14ac:dyDescent="0.25">
      <c r="A171">
        <v>170</v>
      </c>
      <c r="B171" t="s">
        <v>129</v>
      </c>
      <c r="C171" t="s">
        <v>1088</v>
      </c>
      <c r="D171" t="s">
        <v>1089</v>
      </c>
      <c r="E171" t="s">
        <v>1090</v>
      </c>
      <c r="F171" t="s">
        <v>47</v>
      </c>
      <c r="I171" t="s">
        <v>133</v>
      </c>
      <c r="K171" s="2">
        <v>46216.491353819401</v>
      </c>
      <c r="L171" s="2">
        <v>46224.333344097198</v>
      </c>
      <c r="M171" t="s">
        <v>76</v>
      </c>
      <c r="N171" t="s">
        <v>77</v>
      </c>
      <c r="O171" t="s">
        <v>54</v>
      </c>
      <c r="P171" t="s">
        <v>174</v>
      </c>
      <c r="Q171" t="s">
        <v>56</v>
      </c>
      <c r="S171" t="s">
        <v>68</v>
      </c>
      <c r="V171" t="s">
        <v>59</v>
      </c>
      <c r="W171" t="s">
        <v>60</v>
      </c>
      <c r="X171" t="s">
        <v>61</v>
      </c>
      <c r="Y171" t="s">
        <v>47</v>
      </c>
      <c r="AA171" t="s">
        <v>1091</v>
      </c>
      <c r="AF171" t="s">
        <v>117</v>
      </c>
      <c r="AI171" t="s">
        <v>1092</v>
      </c>
      <c r="AJ171" t="s">
        <v>68</v>
      </c>
      <c r="AK171" t="s">
        <v>82</v>
      </c>
      <c r="AL171" t="s">
        <v>70</v>
      </c>
      <c r="AM171">
        <v>13</v>
      </c>
      <c r="AN171">
        <v>2026</v>
      </c>
      <c r="AO171" t="s">
        <v>71</v>
      </c>
      <c r="AP171">
        <v>21</v>
      </c>
      <c r="AQ171" t="s">
        <v>71</v>
      </c>
    </row>
    <row r="172" spans="1:43" x14ac:dyDescent="0.25">
      <c r="A172">
        <v>171</v>
      </c>
      <c r="B172" t="s">
        <v>229</v>
      </c>
      <c r="C172" t="s">
        <v>1093</v>
      </c>
      <c r="D172" t="s">
        <v>1094</v>
      </c>
      <c r="E172" t="s">
        <v>1095</v>
      </c>
      <c r="F172" t="s">
        <v>47</v>
      </c>
      <c r="I172" t="s">
        <v>233</v>
      </c>
      <c r="K172" s="2">
        <v>46216.6042443634</v>
      </c>
      <c r="L172" s="2">
        <v>46224.333344097198</v>
      </c>
      <c r="M172" t="s">
        <v>76</v>
      </c>
      <c r="N172" t="s">
        <v>77</v>
      </c>
      <c r="O172" t="s">
        <v>54</v>
      </c>
      <c r="P172" t="s">
        <v>55</v>
      </c>
      <c r="Q172" t="s">
        <v>147</v>
      </c>
      <c r="S172" t="s">
        <v>68</v>
      </c>
      <c r="V172" t="s">
        <v>59</v>
      </c>
      <c r="W172" t="s">
        <v>90</v>
      </c>
      <c r="X172" t="s">
        <v>61</v>
      </c>
      <c r="Y172" t="s">
        <v>47</v>
      </c>
      <c r="AA172" t="s">
        <v>1096</v>
      </c>
      <c r="AF172" t="s">
        <v>245</v>
      </c>
      <c r="AI172" t="s">
        <v>1097</v>
      </c>
      <c r="AJ172" t="s">
        <v>68</v>
      </c>
      <c r="AK172" t="s">
        <v>82</v>
      </c>
      <c r="AL172" t="s">
        <v>70</v>
      </c>
      <c r="AM172">
        <v>13</v>
      </c>
      <c r="AN172">
        <v>2026</v>
      </c>
      <c r="AO172" t="s">
        <v>71</v>
      </c>
      <c r="AP172">
        <v>21</v>
      </c>
      <c r="AQ172" t="s">
        <v>71</v>
      </c>
    </row>
    <row r="173" spans="1:43" x14ac:dyDescent="0.25">
      <c r="A173">
        <v>172</v>
      </c>
      <c r="B173" t="s">
        <v>249</v>
      </c>
      <c r="C173" t="s">
        <v>1098</v>
      </c>
      <c r="D173" t="s">
        <v>1099</v>
      </c>
      <c r="E173" t="s">
        <v>1100</v>
      </c>
      <c r="F173" t="s">
        <v>47</v>
      </c>
      <c r="I173" t="s">
        <v>254</v>
      </c>
      <c r="K173" s="2">
        <v>46216.665076585603</v>
      </c>
      <c r="L173" s="2">
        <v>46217.2918559838</v>
      </c>
      <c r="M173" t="s">
        <v>76</v>
      </c>
      <c r="N173" t="s">
        <v>77</v>
      </c>
      <c r="O173" t="s">
        <v>54</v>
      </c>
      <c r="P173" t="s">
        <v>55</v>
      </c>
      <c r="Q173" t="s">
        <v>161</v>
      </c>
      <c r="R173" t="s">
        <v>57</v>
      </c>
      <c r="S173" t="s">
        <v>68</v>
      </c>
      <c r="V173" t="s">
        <v>59</v>
      </c>
      <c r="W173" t="s">
        <v>90</v>
      </c>
      <c r="X173" t="s">
        <v>61</v>
      </c>
      <c r="Y173" t="s">
        <v>47</v>
      </c>
      <c r="AA173" t="s">
        <v>1101</v>
      </c>
      <c r="AF173" t="s">
        <v>92</v>
      </c>
      <c r="AI173" t="s">
        <v>551</v>
      </c>
      <c r="AJ173" t="s">
        <v>68</v>
      </c>
      <c r="AK173" t="s">
        <v>82</v>
      </c>
      <c r="AL173" t="s">
        <v>70</v>
      </c>
      <c r="AM173">
        <v>13</v>
      </c>
      <c r="AN173">
        <v>2026</v>
      </c>
      <c r="AO173" t="s">
        <v>71</v>
      </c>
      <c r="AP173">
        <v>14</v>
      </c>
      <c r="AQ173" t="s">
        <v>71</v>
      </c>
    </row>
    <row r="174" spans="1:43" x14ac:dyDescent="0.25">
      <c r="A174">
        <v>173</v>
      </c>
      <c r="B174" t="s">
        <v>263</v>
      </c>
      <c r="C174" t="s">
        <v>1102</v>
      </c>
      <c r="D174" t="s">
        <v>1103</v>
      </c>
      <c r="E174" t="s">
        <v>1104</v>
      </c>
      <c r="F174" t="s">
        <v>47</v>
      </c>
      <c r="H174" t="s">
        <v>1105</v>
      </c>
      <c r="I174" t="s">
        <v>267</v>
      </c>
      <c r="J174" t="s">
        <v>51</v>
      </c>
      <c r="K174" s="2">
        <v>46216.5905178588</v>
      </c>
      <c r="L174" s="2">
        <v>46224.883537268499</v>
      </c>
      <c r="M174" t="s">
        <v>241</v>
      </c>
      <c r="N174" t="s">
        <v>242</v>
      </c>
      <c r="O174" t="s">
        <v>54</v>
      </c>
      <c r="P174" t="s">
        <v>55</v>
      </c>
      <c r="Q174" t="s">
        <v>405</v>
      </c>
      <c r="R174" t="s">
        <v>1106</v>
      </c>
      <c r="S174" t="s">
        <v>481</v>
      </c>
      <c r="V174" t="s">
        <v>59</v>
      </c>
      <c r="W174" t="s">
        <v>90</v>
      </c>
      <c r="X174" t="s">
        <v>61</v>
      </c>
      <c r="Y174" t="s">
        <v>47</v>
      </c>
      <c r="Z174" t="s">
        <v>114</v>
      </c>
      <c r="AA174" t="s">
        <v>1107</v>
      </c>
      <c r="AC174" t="s">
        <v>481</v>
      </c>
      <c r="AD174" s="2">
        <v>46220</v>
      </c>
      <c r="AE174" t="s">
        <v>92</v>
      </c>
      <c r="AF174" t="s">
        <v>92</v>
      </c>
      <c r="AG174" t="s">
        <v>246</v>
      </c>
      <c r="AI174" t="s">
        <v>1108</v>
      </c>
      <c r="AJ174" t="s">
        <v>68</v>
      </c>
      <c r="AK174" t="s">
        <v>248</v>
      </c>
      <c r="AL174" t="s">
        <v>70</v>
      </c>
      <c r="AM174">
        <v>13</v>
      </c>
      <c r="AN174">
        <v>2026</v>
      </c>
      <c r="AO174" t="s">
        <v>71</v>
      </c>
      <c r="AP174">
        <v>21</v>
      </c>
      <c r="AQ174" t="s">
        <v>71</v>
      </c>
    </row>
    <row r="175" spans="1:43" x14ac:dyDescent="0.25">
      <c r="A175">
        <v>174</v>
      </c>
      <c r="B175" t="s">
        <v>464</v>
      </c>
      <c r="C175" t="s">
        <v>1109</v>
      </c>
      <c r="D175" t="s">
        <v>1110</v>
      </c>
      <c r="E175" t="s">
        <v>1111</v>
      </c>
      <c r="F175" t="s">
        <v>47</v>
      </c>
      <c r="I175" t="s">
        <v>275</v>
      </c>
      <c r="K175" s="2">
        <v>46216.698387465301</v>
      </c>
      <c r="L175" s="2">
        <v>46217.291861076403</v>
      </c>
      <c r="M175" t="s">
        <v>76</v>
      </c>
      <c r="N175" t="s">
        <v>77</v>
      </c>
      <c r="O175" t="s">
        <v>54</v>
      </c>
      <c r="P175" t="s">
        <v>55</v>
      </c>
      <c r="Q175" t="s">
        <v>113</v>
      </c>
      <c r="R175" t="s">
        <v>57</v>
      </c>
      <c r="S175" t="s">
        <v>68</v>
      </c>
      <c r="V175" t="s">
        <v>59</v>
      </c>
      <c r="X175" t="s">
        <v>61</v>
      </c>
      <c r="Y175" t="s">
        <v>47</v>
      </c>
      <c r="AA175" t="s">
        <v>1112</v>
      </c>
      <c r="AF175" t="s">
        <v>1113</v>
      </c>
      <c r="AI175" t="s">
        <v>470</v>
      </c>
      <c r="AJ175" t="s">
        <v>68</v>
      </c>
      <c r="AK175" t="s">
        <v>82</v>
      </c>
      <c r="AL175" t="s">
        <v>70</v>
      </c>
      <c r="AM175">
        <v>13</v>
      </c>
      <c r="AN175">
        <v>2026</v>
      </c>
      <c r="AO175" t="s">
        <v>71</v>
      </c>
      <c r="AP175">
        <v>14</v>
      </c>
      <c r="AQ175" t="s">
        <v>71</v>
      </c>
    </row>
    <row r="176" spans="1:43" x14ac:dyDescent="0.25">
      <c r="A176">
        <v>175</v>
      </c>
      <c r="B176" t="s">
        <v>1114</v>
      </c>
      <c r="C176" t="s">
        <v>1115</v>
      </c>
      <c r="D176" t="s">
        <v>1116</v>
      </c>
      <c r="E176" t="s">
        <v>1117</v>
      </c>
      <c r="F176" t="s">
        <v>47</v>
      </c>
      <c r="I176" t="s">
        <v>1118</v>
      </c>
      <c r="K176" s="2">
        <v>46216.400562650502</v>
      </c>
      <c r="L176" s="2">
        <v>46224.333344097198</v>
      </c>
      <c r="M176" t="s">
        <v>76</v>
      </c>
      <c r="N176" t="s">
        <v>77</v>
      </c>
      <c r="O176" t="s">
        <v>54</v>
      </c>
      <c r="P176" t="s">
        <v>55</v>
      </c>
      <c r="Q176" t="s">
        <v>405</v>
      </c>
      <c r="S176" t="s">
        <v>68</v>
      </c>
      <c r="V176" t="s">
        <v>59</v>
      </c>
      <c r="W176" t="s">
        <v>90</v>
      </c>
      <c r="X176" t="s">
        <v>61</v>
      </c>
      <c r="Y176" t="s">
        <v>47</v>
      </c>
      <c r="AA176" t="s">
        <v>1119</v>
      </c>
      <c r="AF176" t="s">
        <v>1120</v>
      </c>
      <c r="AI176" t="s">
        <v>1121</v>
      </c>
      <c r="AJ176" t="s">
        <v>68</v>
      </c>
      <c r="AK176" t="s">
        <v>82</v>
      </c>
      <c r="AL176" t="s">
        <v>70</v>
      </c>
      <c r="AM176">
        <v>13</v>
      </c>
      <c r="AN176">
        <v>2026</v>
      </c>
      <c r="AO176" t="s">
        <v>71</v>
      </c>
      <c r="AP176">
        <v>21</v>
      </c>
      <c r="AQ176" t="s">
        <v>71</v>
      </c>
    </row>
    <row r="177" spans="1:43" x14ac:dyDescent="0.25">
      <c r="A177">
        <v>176</v>
      </c>
      <c r="B177" t="s">
        <v>1122</v>
      </c>
      <c r="C177" t="s">
        <v>1123</v>
      </c>
      <c r="D177" t="s">
        <v>1124</v>
      </c>
      <c r="E177" t="s">
        <v>1125</v>
      </c>
      <c r="F177" t="s">
        <v>274</v>
      </c>
      <c r="I177" t="s">
        <v>1126</v>
      </c>
      <c r="K177" s="2">
        <v>46217.643131365701</v>
      </c>
      <c r="L177" s="2">
        <v>46227.333390821797</v>
      </c>
      <c r="M177" t="s">
        <v>76</v>
      </c>
      <c r="N177" t="s">
        <v>77</v>
      </c>
      <c r="O177" t="s">
        <v>54</v>
      </c>
      <c r="P177" t="s">
        <v>174</v>
      </c>
      <c r="Q177" t="s">
        <v>621</v>
      </c>
      <c r="S177" t="s">
        <v>68</v>
      </c>
      <c r="V177" t="s">
        <v>59</v>
      </c>
      <c r="W177" t="s">
        <v>90</v>
      </c>
      <c r="X177" t="s">
        <v>61</v>
      </c>
      <c r="Y177" t="s">
        <v>274</v>
      </c>
      <c r="AA177" t="s">
        <v>1127</v>
      </c>
      <c r="AF177" t="s">
        <v>1128</v>
      </c>
      <c r="AK177" t="s">
        <v>82</v>
      </c>
      <c r="AL177" t="s">
        <v>277</v>
      </c>
      <c r="AM177">
        <v>14</v>
      </c>
      <c r="AN177">
        <v>2026</v>
      </c>
      <c r="AO177" t="s">
        <v>71</v>
      </c>
      <c r="AP177">
        <v>24</v>
      </c>
      <c r="AQ177" t="s">
        <v>71</v>
      </c>
    </row>
    <row r="178" spans="1:43" x14ac:dyDescent="0.25">
      <c r="A178">
        <v>177</v>
      </c>
      <c r="B178" t="s">
        <v>1122</v>
      </c>
      <c r="C178" t="s">
        <v>1123</v>
      </c>
      <c r="D178" t="s">
        <v>1129</v>
      </c>
      <c r="E178" t="s">
        <v>1130</v>
      </c>
      <c r="F178" t="s">
        <v>274</v>
      </c>
      <c r="H178" t="s">
        <v>1131</v>
      </c>
      <c r="I178" t="s">
        <v>1126</v>
      </c>
      <c r="J178" t="s">
        <v>51</v>
      </c>
      <c r="K178" s="2">
        <v>46217.787164467598</v>
      </c>
      <c r="L178" s="2">
        <v>46220.582051273203</v>
      </c>
      <c r="M178" t="s">
        <v>241</v>
      </c>
      <c r="N178" t="s">
        <v>242</v>
      </c>
      <c r="O178" t="s">
        <v>54</v>
      </c>
      <c r="P178" t="s">
        <v>174</v>
      </c>
      <c r="Q178" t="s">
        <v>621</v>
      </c>
      <c r="R178" t="s">
        <v>578</v>
      </c>
      <c r="S178" t="s">
        <v>58</v>
      </c>
      <c r="V178" t="s">
        <v>59</v>
      </c>
      <c r="W178" t="s">
        <v>90</v>
      </c>
      <c r="X178" t="s">
        <v>61</v>
      </c>
      <c r="Y178" t="s">
        <v>274</v>
      </c>
      <c r="Z178" t="s">
        <v>372</v>
      </c>
      <c r="AA178" t="s">
        <v>1127</v>
      </c>
      <c r="AC178" t="s">
        <v>58</v>
      </c>
      <c r="AD178" s="2">
        <v>46219</v>
      </c>
      <c r="AE178" t="s">
        <v>1132</v>
      </c>
      <c r="AF178" t="s">
        <v>1128</v>
      </c>
      <c r="AG178" t="s">
        <v>246</v>
      </c>
      <c r="AK178" t="s">
        <v>248</v>
      </c>
      <c r="AL178" t="s">
        <v>277</v>
      </c>
      <c r="AM178">
        <v>14</v>
      </c>
      <c r="AN178">
        <v>2026</v>
      </c>
      <c r="AO178" t="s">
        <v>71</v>
      </c>
      <c r="AP178">
        <v>17</v>
      </c>
      <c r="AQ178" t="s">
        <v>71</v>
      </c>
    </row>
    <row r="179" spans="1:43" x14ac:dyDescent="0.25">
      <c r="A179">
        <v>178</v>
      </c>
      <c r="B179" t="s">
        <v>83</v>
      </c>
      <c r="C179" t="s">
        <v>1133</v>
      </c>
      <c r="D179" t="s">
        <v>1134</v>
      </c>
      <c r="E179" t="s">
        <v>1135</v>
      </c>
      <c r="F179" t="s">
        <v>75</v>
      </c>
      <c r="I179" t="s">
        <v>193</v>
      </c>
      <c r="K179" s="2">
        <v>46217.387110613403</v>
      </c>
      <c r="L179" s="2">
        <v>46226.333341122699</v>
      </c>
      <c r="M179" t="s">
        <v>76</v>
      </c>
      <c r="N179" t="s">
        <v>77</v>
      </c>
      <c r="O179" t="s">
        <v>54</v>
      </c>
      <c r="P179" t="s">
        <v>285</v>
      </c>
      <c r="Q179" t="s">
        <v>154</v>
      </c>
      <c r="S179" t="s">
        <v>68</v>
      </c>
      <c r="V179" t="s">
        <v>59</v>
      </c>
      <c r="W179" t="s">
        <v>90</v>
      </c>
      <c r="X179" t="s">
        <v>61</v>
      </c>
      <c r="Y179" t="s">
        <v>75</v>
      </c>
      <c r="AA179" t="s">
        <v>1136</v>
      </c>
      <c r="AF179" t="s">
        <v>195</v>
      </c>
      <c r="AK179" t="s">
        <v>82</v>
      </c>
      <c r="AL179" t="s">
        <v>70</v>
      </c>
      <c r="AM179">
        <v>14</v>
      </c>
      <c r="AN179">
        <v>2026</v>
      </c>
      <c r="AO179" t="s">
        <v>71</v>
      </c>
      <c r="AP179">
        <v>23</v>
      </c>
      <c r="AQ179" t="s">
        <v>71</v>
      </c>
    </row>
    <row r="180" spans="1:43" x14ac:dyDescent="0.25">
      <c r="A180">
        <v>179</v>
      </c>
      <c r="B180" t="s">
        <v>83</v>
      </c>
      <c r="C180" t="s">
        <v>1137</v>
      </c>
      <c r="D180" t="s">
        <v>1138</v>
      </c>
      <c r="E180" t="s">
        <v>1139</v>
      </c>
      <c r="F180" t="s">
        <v>75</v>
      </c>
      <c r="I180" t="s">
        <v>193</v>
      </c>
      <c r="K180" s="2">
        <v>46217.389990937503</v>
      </c>
      <c r="L180" s="2">
        <v>46226.333341122699</v>
      </c>
      <c r="M180" t="s">
        <v>76</v>
      </c>
      <c r="N180" t="s">
        <v>77</v>
      </c>
      <c r="O180" t="s">
        <v>54</v>
      </c>
      <c r="P180" t="s">
        <v>285</v>
      </c>
      <c r="Q180" t="s">
        <v>154</v>
      </c>
      <c r="S180" t="s">
        <v>68</v>
      </c>
      <c r="V180" t="s">
        <v>59</v>
      </c>
      <c r="W180" t="s">
        <v>90</v>
      </c>
      <c r="X180" t="s">
        <v>61</v>
      </c>
      <c r="Y180" t="s">
        <v>75</v>
      </c>
      <c r="AA180" t="s">
        <v>1140</v>
      </c>
      <c r="AF180" t="s">
        <v>195</v>
      </c>
      <c r="AK180" t="s">
        <v>82</v>
      </c>
      <c r="AL180" t="s">
        <v>70</v>
      </c>
      <c r="AM180">
        <v>14</v>
      </c>
      <c r="AN180">
        <v>2026</v>
      </c>
      <c r="AO180" t="s">
        <v>71</v>
      </c>
      <c r="AP180">
        <v>23</v>
      </c>
      <c r="AQ180" t="s">
        <v>71</v>
      </c>
    </row>
    <row r="181" spans="1:43" x14ac:dyDescent="0.25">
      <c r="A181">
        <v>180</v>
      </c>
      <c r="B181" t="s">
        <v>83</v>
      </c>
      <c r="C181" t="s">
        <v>1141</v>
      </c>
      <c r="D181" t="s">
        <v>1142</v>
      </c>
      <c r="E181" t="s">
        <v>1143</v>
      </c>
      <c r="F181" t="s">
        <v>47</v>
      </c>
      <c r="I181" t="s">
        <v>87</v>
      </c>
      <c r="K181" s="2">
        <v>46217.416912152803</v>
      </c>
      <c r="L181" s="2">
        <v>46227.333390821797</v>
      </c>
      <c r="M181" t="s">
        <v>76</v>
      </c>
      <c r="N181" t="s">
        <v>77</v>
      </c>
      <c r="O181" t="s">
        <v>54</v>
      </c>
      <c r="P181" t="s">
        <v>55</v>
      </c>
      <c r="Q181" t="s">
        <v>405</v>
      </c>
      <c r="S181" t="s">
        <v>68</v>
      </c>
      <c r="V181" t="s">
        <v>59</v>
      </c>
      <c r="W181" t="s">
        <v>90</v>
      </c>
      <c r="X181" t="s">
        <v>61</v>
      </c>
      <c r="Y181" t="s">
        <v>47</v>
      </c>
      <c r="AA181" t="s">
        <v>1144</v>
      </c>
      <c r="AF181" t="s">
        <v>92</v>
      </c>
      <c r="AI181" t="s">
        <v>811</v>
      </c>
      <c r="AJ181" t="s">
        <v>68</v>
      </c>
      <c r="AK181" t="s">
        <v>82</v>
      </c>
      <c r="AL181" t="s">
        <v>70</v>
      </c>
      <c r="AM181">
        <v>14</v>
      </c>
      <c r="AN181">
        <v>2026</v>
      </c>
      <c r="AO181" t="s">
        <v>71</v>
      </c>
      <c r="AP181">
        <v>24</v>
      </c>
      <c r="AQ181" t="s">
        <v>71</v>
      </c>
    </row>
    <row r="182" spans="1:43" x14ac:dyDescent="0.25">
      <c r="A182">
        <v>181</v>
      </c>
      <c r="B182" t="s">
        <v>83</v>
      </c>
      <c r="C182" t="s">
        <v>1145</v>
      </c>
      <c r="D182" t="s">
        <v>1146</v>
      </c>
      <c r="E182" t="s">
        <v>1147</v>
      </c>
      <c r="F182" t="s">
        <v>47</v>
      </c>
      <c r="I182" t="s">
        <v>87</v>
      </c>
      <c r="K182" s="2">
        <v>46217.547100347198</v>
      </c>
      <c r="L182" s="2">
        <v>46218.292891782403</v>
      </c>
      <c r="M182" t="s">
        <v>76</v>
      </c>
      <c r="N182" t="s">
        <v>77</v>
      </c>
      <c r="O182" t="s">
        <v>54</v>
      </c>
      <c r="P182" t="s">
        <v>598</v>
      </c>
      <c r="Q182" t="s">
        <v>296</v>
      </c>
      <c r="R182" t="s">
        <v>57</v>
      </c>
      <c r="S182" t="s">
        <v>68</v>
      </c>
      <c r="V182" t="s">
        <v>59</v>
      </c>
      <c r="W182" t="s">
        <v>90</v>
      </c>
      <c r="X182" t="s">
        <v>61</v>
      </c>
      <c r="Y182" t="s">
        <v>47</v>
      </c>
      <c r="AA182" t="s">
        <v>1148</v>
      </c>
      <c r="AF182" t="s">
        <v>92</v>
      </c>
      <c r="AI182" t="s">
        <v>1149</v>
      </c>
      <c r="AJ182" t="s">
        <v>68</v>
      </c>
      <c r="AK182" t="s">
        <v>82</v>
      </c>
      <c r="AL182" t="s">
        <v>70</v>
      </c>
      <c r="AM182">
        <v>14</v>
      </c>
      <c r="AN182">
        <v>2026</v>
      </c>
      <c r="AO182" t="s">
        <v>71</v>
      </c>
      <c r="AP182">
        <v>15</v>
      </c>
      <c r="AQ182" t="s">
        <v>71</v>
      </c>
    </row>
    <row r="183" spans="1:43" x14ac:dyDescent="0.25">
      <c r="A183">
        <v>182</v>
      </c>
      <c r="B183" t="s">
        <v>106</v>
      </c>
      <c r="C183" t="s">
        <v>1150</v>
      </c>
      <c r="D183" t="s">
        <v>1151</v>
      </c>
      <c r="E183" t="s">
        <v>1152</v>
      </c>
      <c r="F183" t="s">
        <v>47</v>
      </c>
      <c r="I183" t="s">
        <v>112</v>
      </c>
      <c r="K183" s="2">
        <v>46217.399161076399</v>
      </c>
      <c r="L183" s="2">
        <v>46226.333341122699</v>
      </c>
      <c r="M183" t="s">
        <v>76</v>
      </c>
      <c r="N183" t="s">
        <v>77</v>
      </c>
      <c r="O183" t="s">
        <v>54</v>
      </c>
      <c r="P183" t="s">
        <v>174</v>
      </c>
      <c r="Q183" t="s">
        <v>56</v>
      </c>
      <c r="S183" t="s">
        <v>68</v>
      </c>
      <c r="V183" t="s">
        <v>59</v>
      </c>
      <c r="W183" t="s">
        <v>60</v>
      </c>
      <c r="X183" t="s">
        <v>61</v>
      </c>
      <c r="Y183" t="s">
        <v>47</v>
      </c>
      <c r="AA183" t="s">
        <v>1153</v>
      </c>
      <c r="AF183" t="s">
        <v>117</v>
      </c>
      <c r="AI183" t="s">
        <v>475</v>
      </c>
      <c r="AJ183" t="s">
        <v>68</v>
      </c>
      <c r="AK183" t="s">
        <v>82</v>
      </c>
      <c r="AL183" t="s">
        <v>70</v>
      </c>
      <c r="AM183">
        <v>14</v>
      </c>
      <c r="AN183">
        <v>2026</v>
      </c>
      <c r="AO183" t="s">
        <v>71</v>
      </c>
      <c r="AP183">
        <v>23</v>
      </c>
      <c r="AQ183" t="s">
        <v>71</v>
      </c>
    </row>
    <row r="184" spans="1:43" x14ac:dyDescent="0.25">
      <c r="A184">
        <v>183</v>
      </c>
      <c r="B184" t="s">
        <v>106</v>
      </c>
      <c r="C184" t="s">
        <v>1154</v>
      </c>
      <c r="D184" t="s">
        <v>1155</v>
      </c>
      <c r="E184" t="s">
        <v>1156</v>
      </c>
      <c r="F184" t="s">
        <v>75</v>
      </c>
      <c r="I184" t="s">
        <v>112</v>
      </c>
      <c r="K184" s="2">
        <v>46217.429615127301</v>
      </c>
      <c r="L184" s="2">
        <v>46226.333341122699</v>
      </c>
      <c r="M184" t="s">
        <v>76</v>
      </c>
      <c r="N184" t="s">
        <v>77</v>
      </c>
      <c r="O184" t="s">
        <v>54</v>
      </c>
      <c r="P184" t="s">
        <v>78</v>
      </c>
      <c r="Q184" t="s">
        <v>89</v>
      </c>
      <c r="S184" t="s">
        <v>68</v>
      </c>
      <c r="V184" t="s">
        <v>59</v>
      </c>
      <c r="W184" t="s">
        <v>60</v>
      </c>
      <c r="X184" t="s">
        <v>61</v>
      </c>
      <c r="Y184" t="s">
        <v>75</v>
      </c>
      <c r="AA184" t="s">
        <v>1157</v>
      </c>
      <c r="AF184" t="s">
        <v>117</v>
      </c>
      <c r="AK184" t="s">
        <v>82</v>
      </c>
      <c r="AL184" t="s">
        <v>70</v>
      </c>
      <c r="AM184">
        <v>14</v>
      </c>
      <c r="AN184">
        <v>2026</v>
      </c>
      <c r="AO184" t="s">
        <v>71</v>
      </c>
      <c r="AP184">
        <v>23</v>
      </c>
      <c r="AQ184" t="s">
        <v>71</v>
      </c>
    </row>
    <row r="185" spans="1:43" x14ac:dyDescent="0.25">
      <c r="A185">
        <v>184</v>
      </c>
      <c r="B185" t="s">
        <v>106</v>
      </c>
      <c r="C185" t="s">
        <v>1158</v>
      </c>
      <c r="D185" t="s">
        <v>1159</v>
      </c>
      <c r="E185" t="s">
        <v>1160</v>
      </c>
      <c r="F185" t="s">
        <v>75</v>
      </c>
      <c r="I185" t="s">
        <v>112</v>
      </c>
      <c r="K185" s="2">
        <v>46217.447336655103</v>
      </c>
      <c r="L185" s="2">
        <v>46226.333341122699</v>
      </c>
      <c r="M185" t="s">
        <v>76</v>
      </c>
      <c r="N185" t="s">
        <v>77</v>
      </c>
      <c r="O185" t="s">
        <v>54</v>
      </c>
      <c r="P185" t="s">
        <v>160</v>
      </c>
      <c r="Q185" t="s">
        <v>175</v>
      </c>
      <c r="S185" t="s">
        <v>68</v>
      </c>
      <c r="V185" t="s">
        <v>59</v>
      </c>
      <c r="W185" t="s">
        <v>60</v>
      </c>
      <c r="X185" t="s">
        <v>61</v>
      </c>
      <c r="Y185" t="s">
        <v>75</v>
      </c>
      <c r="AA185" t="s">
        <v>1161</v>
      </c>
      <c r="AF185" t="s">
        <v>117</v>
      </c>
      <c r="AK185" t="s">
        <v>82</v>
      </c>
      <c r="AL185" t="s">
        <v>70</v>
      </c>
      <c r="AM185">
        <v>14</v>
      </c>
      <c r="AN185">
        <v>2026</v>
      </c>
      <c r="AO185" t="s">
        <v>71</v>
      </c>
      <c r="AP185">
        <v>23</v>
      </c>
      <c r="AQ185" t="s">
        <v>71</v>
      </c>
    </row>
    <row r="186" spans="1:43" x14ac:dyDescent="0.25">
      <c r="A186">
        <v>185</v>
      </c>
      <c r="B186" t="s">
        <v>345</v>
      </c>
      <c r="C186" t="s">
        <v>1158</v>
      </c>
      <c r="D186" t="s">
        <v>1162</v>
      </c>
      <c r="E186" t="s">
        <v>1163</v>
      </c>
      <c r="F186" t="s">
        <v>75</v>
      </c>
      <c r="H186" t="s">
        <v>1164</v>
      </c>
      <c r="I186" t="s">
        <v>351</v>
      </c>
      <c r="J186" t="s">
        <v>51</v>
      </c>
      <c r="K186" s="2">
        <v>46217.486792210701</v>
      </c>
      <c r="L186" s="2">
        <v>46218.304373842599</v>
      </c>
      <c r="M186" t="s">
        <v>1165</v>
      </c>
      <c r="N186" t="s">
        <v>1166</v>
      </c>
      <c r="O186" t="s">
        <v>54</v>
      </c>
      <c r="P186" t="s">
        <v>160</v>
      </c>
      <c r="Q186" t="s">
        <v>175</v>
      </c>
      <c r="R186" t="s">
        <v>632</v>
      </c>
      <c r="S186" t="s">
        <v>481</v>
      </c>
      <c r="V186" t="s">
        <v>59</v>
      </c>
      <c r="W186" t="s">
        <v>90</v>
      </c>
      <c r="X186" t="s">
        <v>61</v>
      </c>
      <c r="Y186" t="s">
        <v>75</v>
      </c>
      <c r="Z186" t="s">
        <v>114</v>
      </c>
      <c r="AA186" t="s">
        <v>1161</v>
      </c>
      <c r="AC186" t="s">
        <v>481</v>
      </c>
      <c r="AD186" s="2">
        <v>46219</v>
      </c>
      <c r="AE186" t="s">
        <v>65</v>
      </c>
      <c r="AF186" t="s">
        <v>65</v>
      </c>
      <c r="AG186" t="s">
        <v>246</v>
      </c>
      <c r="AK186" t="s">
        <v>248</v>
      </c>
      <c r="AL186" t="s">
        <v>70</v>
      </c>
      <c r="AM186">
        <v>14</v>
      </c>
      <c r="AN186">
        <v>2026</v>
      </c>
      <c r="AO186" t="s">
        <v>71</v>
      </c>
      <c r="AP186">
        <v>15</v>
      </c>
      <c r="AQ186" t="s">
        <v>71</v>
      </c>
    </row>
    <row r="187" spans="1:43" x14ac:dyDescent="0.25">
      <c r="A187">
        <v>186</v>
      </c>
      <c r="B187" t="s">
        <v>345</v>
      </c>
      <c r="C187" t="s">
        <v>1167</v>
      </c>
      <c r="D187" t="s">
        <v>1168</v>
      </c>
      <c r="E187" t="s">
        <v>1169</v>
      </c>
      <c r="F187" t="s">
        <v>47</v>
      </c>
      <c r="I187" t="s">
        <v>435</v>
      </c>
      <c r="K187" s="2">
        <v>46217.595125081003</v>
      </c>
      <c r="L187" s="2">
        <v>46226.333341122699</v>
      </c>
      <c r="M187" t="s">
        <v>76</v>
      </c>
      <c r="N187" t="s">
        <v>77</v>
      </c>
      <c r="O187" t="s">
        <v>54</v>
      </c>
      <c r="P187" t="s">
        <v>55</v>
      </c>
      <c r="Q187" t="s">
        <v>113</v>
      </c>
      <c r="S187" t="s">
        <v>68</v>
      </c>
      <c r="V187" t="s">
        <v>59</v>
      </c>
      <c r="W187" t="s">
        <v>90</v>
      </c>
      <c r="X187" t="s">
        <v>61</v>
      </c>
      <c r="Y187" t="s">
        <v>47</v>
      </c>
      <c r="AA187" t="s">
        <v>1170</v>
      </c>
      <c r="AF187" t="s">
        <v>1171</v>
      </c>
      <c r="AI187" t="s">
        <v>867</v>
      </c>
      <c r="AJ187" t="s">
        <v>68</v>
      </c>
      <c r="AK187" t="s">
        <v>82</v>
      </c>
      <c r="AL187" t="s">
        <v>70</v>
      </c>
      <c r="AM187">
        <v>14</v>
      </c>
      <c r="AN187">
        <v>2026</v>
      </c>
      <c r="AO187" t="s">
        <v>71</v>
      </c>
      <c r="AP187">
        <v>23</v>
      </c>
      <c r="AQ187" t="s">
        <v>71</v>
      </c>
    </row>
    <row r="188" spans="1:43" x14ac:dyDescent="0.25">
      <c r="A188">
        <v>187</v>
      </c>
      <c r="B188" t="s">
        <v>345</v>
      </c>
      <c r="C188" t="s">
        <v>1172</v>
      </c>
      <c r="D188" t="s">
        <v>1173</v>
      </c>
      <c r="E188" t="s">
        <v>1174</v>
      </c>
      <c r="F188" t="s">
        <v>47</v>
      </c>
      <c r="I188" t="s">
        <v>351</v>
      </c>
      <c r="K188" s="2">
        <v>46217.663640081002</v>
      </c>
      <c r="L188" s="2">
        <v>46226.333341122699</v>
      </c>
      <c r="M188" t="s">
        <v>76</v>
      </c>
      <c r="N188" t="s">
        <v>77</v>
      </c>
      <c r="O188" t="s">
        <v>54</v>
      </c>
      <c r="P188" t="s">
        <v>855</v>
      </c>
      <c r="Q188" t="s">
        <v>175</v>
      </c>
      <c r="S188" t="s">
        <v>68</v>
      </c>
      <c r="V188" t="s">
        <v>59</v>
      </c>
      <c r="W188" t="s">
        <v>90</v>
      </c>
      <c r="X188" t="s">
        <v>61</v>
      </c>
      <c r="Y188" t="s">
        <v>47</v>
      </c>
      <c r="AA188" t="s">
        <v>1175</v>
      </c>
      <c r="AF188" t="s">
        <v>65</v>
      </c>
      <c r="AI188" t="s">
        <v>861</v>
      </c>
      <c r="AJ188" t="s">
        <v>68</v>
      </c>
      <c r="AK188" t="s">
        <v>82</v>
      </c>
      <c r="AL188" t="s">
        <v>70</v>
      </c>
      <c r="AM188">
        <v>14</v>
      </c>
      <c r="AN188">
        <v>2026</v>
      </c>
      <c r="AO188" t="s">
        <v>71</v>
      </c>
      <c r="AP188">
        <v>23</v>
      </c>
      <c r="AQ188" t="s">
        <v>71</v>
      </c>
    </row>
    <row r="189" spans="1:43" x14ac:dyDescent="0.25">
      <c r="A189">
        <v>188</v>
      </c>
      <c r="B189" t="s">
        <v>129</v>
      </c>
      <c r="C189" t="s">
        <v>1176</v>
      </c>
      <c r="D189" t="s">
        <v>1177</v>
      </c>
      <c r="E189" t="s">
        <v>1178</v>
      </c>
      <c r="F189" t="s">
        <v>47</v>
      </c>
      <c r="I189" t="s">
        <v>133</v>
      </c>
      <c r="J189" t="s">
        <v>51</v>
      </c>
      <c r="K189" s="2">
        <v>46217.616721446801</v>
      </c>
      <c r="L189" s="2">
        <v>46218.420221377302</v>
      </c>
      <c r="M189" t="s">
        <v>76</v>
      </c>
      <c r="N189" t="s">
        <v>77</v>
      </c>
      <c r="O189" t="s">
        <v>54</v>
      </c>
      <c r="P189" t="s">
        <v>88</v>
      </c>
      <c r="Q189" t="s">
        <v>405</v>
      </c>
      <c r="R189" t="s">
        <v>1179</v>
      </c>
      <c r="S189" t="s">
        <v>68</v>
      </c>
      <c r="V189" t="s">
        <v>59</v>
      </c>
      <c r="W189" t="s">
        <v>60</v>
      </c>
      <c r="X189" t="s">
        <v>61</v>
      </c>
      <c r="Y189" t="s">
        <v>47</v>
      </c>
      <c r="AA189" t="s">
        <v>1180</v>
      </c>
      <c r="AF189" t="s">
        <v>117</v>
      </c>
      <c r="AG189" t="s">
        <v>246</v>
      </c>
      <c r="AI189" t="s">
        <v>1181</v>
      </c>
      <c r="AJ189" t="s">
        <v>68</v>
      </c>
      <c r="AK189" t="s">
        <v>82</v>
      </c>
      <c r="AL189" t="s">
        <v>70</v>
      </c>
      <c r="AM189">
        <v>14</v>
      </c>
      <c r="AN189">
        <v>2026</v>
      </c>
      <c r="AO189" t="s">
        <v>71</v>
      </c>
      <c r="AP189">
        <v>15</v>
      </c>
      <c r="AQ189" t="s">
        <v>71</v>
      </c>
    </row>
    <row r="190" spans="1:43" x14ac:dyDescent="0.25">
      <c r="A190">
        <v>189</v>
      </c>
      <c r="B190" t="s">
        <v>129</v>
      </c>
      <c r="C190" t="s">
        <v>1182</v>
      </c>
      <c r="D190" t="s">
        <v>1183</v>
      </c>
      <c r="E190" t="s">
        <v>1184</v>
      </c>
      <c r="F190" t="s">
        <v>75</v>
      </c>
      <c r="I190" t="s">
        <v>133</v>
      </c>
      <c r="K190" s="2">
        <v>46217.641871608801</v>
      </c>
      <c r="L190" s="2">
        <v>46226.333341122699</v>
      </c>
      <c r="M190" t="s">
        <v>76</v>
      </c>
      <c r="N190" t="s">
        <v>77</v>
      </c>
      <c r="O190" t="s">
        <v>54</v>
      </c>
      <c r="P190" t="s">
        <v>55</v>
      </c>
      <c r="Q190" t="s">
        <v>56</v>
      </c>
      <c r="S190" t="s">
        <v>68</v>
      </c>
      <c r="V190" t="s">
        <v>59</v>
      </c>
      <c r="W190" t="s">
        <v>60</v>
      </c>
      <c r="X190" t="s">
        <v>61</v>
      </c>
      <c r="Y190" t="s">
        <v>75</v>
      </c>
      <c r="AA190" t="s">
        <v>1185</v>
      </c>
      <c r="AF190" t="s">
        <v>117</v>
      </c>
      <c r="AK190" t="s">
        <v>82</v>
      </c>
      <c r="AL190" t="s">
        <v>70</v>
      </c>
      <c r="AM190">
        <v>14</v>
      </c>
      <c r="AN190">
        <v>2026</v>
      </c>
      <c r="AO190" t="s">
        <v>71</v>
      </c>
      <c r="AP190">
        <v>23</v>
      </c>
      <c r="AQ190" t="s">
        <v>71</v>
      </c>
    </row>
    <row r="191" spans="1:43" x14ac:dyDescent="0.25">
      <c r="A191">
        <v>190</v>
      </c>
      <c r="B191" t="s">
        <v>229</v>
      </c>
      <c r="C191" t="s">
        <v>1186</v>
      </c>
      <c r="D191" t="s">
        <v>1187</v>
      </c>
      <c r="E191" t="s">
        <v>1188</v>
      </c>
      <c r="F191" t="s">
        <v>47</v>
      </c>
      <c r="I191" t="s">
        <v>233</v>
      </c>
      <c r="K191" s="2">
        <v>46217.585422106502</v>
      </c>
      <c r="L191" s="2">
        <v>46226.333341122699</v>
      </c>
      <c r="M191" t="s">
        <v>76</v>
      </c>
      <c r="N191" t="s">
        <v>77</v>
      </c>
      <c r="O191" t="s">
        <v>54</v>
      </c>
      <c r="P191" t="s">
        <v>174</v>
      </c>
      <c r="Q191" t="s">
        <v>161</v>
      </c>
      <c r="S191" t="s">
        <v>68</v>
      </c>
      <c r="V191" t="s">
        <v>59</v>
      </c>
      <c r="W191" t="s">
        <v>90</v>
      </c>
      <c r="X191" t="s">
        <v>61</v>
      </c>
      <c r="Y191" t="s">
        <v>47</v>
      </c>
      <c r="AA191" t="s">
        <v>1189</v>
      </c>
      <c r="AF191" t="s">
        <v>1190</v>
      </c>
      <c r="AI191" t="s">
        <v>1191</v>
      </c>
      <c r="AJ191" t="s">
        <v>68</v>
      </c>
      <c r="AK191" t="s">
        <v>82</v>
      </c>
      <c r="AL191" t="s">
        <v>70</v>
      </c>
      <c r="AM191">
        <v>14</v>
      </c>
      <c r="AN191">
        <v>2026</v>
      </c>
      <c r="AO191" t="s">
        <v>71</v>
      </c>
      <c r="AP191">
        <v>23</v>
      </c>
      <c r="AQ191" t="s">
        <v>71</v>
      </c>
    </row>
    <row r="192" spans="1:43" x14ac:dyDescent="0.25">
      <c r="A192">
        <v>191</v>
      </c>
      <c r="B192" t="s">
        <v>141</v>
      </c>
      <c r="C192" t="s">
        <v>1192</v>
      </c>
      <c r="D192" t="s">
        <v>1193</v>
      </c>
      <c r="E192" t="s">
        <v>1194</v>
      </c>
      <c r="F192" t="s">
        <v>47</v>
      </c>
      <c r="I192" t="s">
        <v>145</v>
      </c>
      <c r="K192" s="2">
        <v>46217.412820104197</v>
      </c>
      <c r="L192" s="2">
        <v>46226.333341122699</v>
      </c>
      <c r="M192" t="s">
        <v>76</v>
      </c>
      <c r="N192" t="s">
        <v>77</v>
      </c>
      <c r="O192" t="s">
        <v>54</v>
      </c>
      <c r="P192" t="s">
        <v>174</v>
      </c>
      <c r="Q192" t="s">
        <v>56</v>
      </c>
      <c r="S192" t="s">
        <v>68</v>
      </c>
      <c r="V192" t="s">
        <v>59</v>
      </c>
      <c r="W192" t="s">
        <v>90</v>
      </c>
      <c r="X192" t="s">
        <v>61</v>
      </c>
      <c r="Y192" t="s">
        <v>47</v>
      </c>
      <c r="AA192" t="s">
        <v>1195</v>
      </c>
      <c r="AF192" t="s">
        <v>1196</v>
      </c>
      <c r="AI192" t="s">
        <v>449</v>
      </c>
      <c r="AJ192" t="s">
        <v>68</v>
      </c>
      <c r="AK192" t="s">
        <v>82</v>
      </c>
      <c r="AL192" t="s">
        <v>70</v>
      </c>
      <c r="AM192">
        <v>14</v>
      </c>
      <c r="AN192">
        <v>2026</v>
      </c>
      <c r="AO192" t="s">
        <v>71</v>
      </c>
      <c r="AP192">
        <v>23</v>
      </c>
      <c r="AQ192" t="s">
        <v>71</v>
      </c>
    </row>
    <row r="193" spans="1:43" x14ac:dyDescent="0.25">
      <c r="A193">
        <v>192</v>
      </c>
      <c r="B193" t="s">
        <v>141</v>
      </c>
      <c r="C193" t="s">
        <v>1197</v>
      </c>
      <c r="D193" t="s">
        <v>1198</v>
      </c>
      <c r="E193" t="s">
        <v>1199</v>
      </c>
      <c r="F193" t="s">
        <v>47</v>
      </c>
      <c r="I193" t="s">
        <v>145</v>
      </c>
      <c r="K193" s="2">
        <v>46217.547006250003</v>
      </c>
      <c r="L193" s="2">
        <v>46226.333341122699</v>
      </c>
      <c r="M193" t="s">
        <v>76</v>
      </c>
      <c r="N193" t="s">
        <v>77</v>
      </c>
      <c r="O193" t="s">
        <v>54</v>
      </c>
      <c r="P193" t="s">
        <v>174</v>
      </c>
      <c r="Q193" t="s">
        <v>56</v>
      </c>
      <c r="S193" t="s">
        <v>68</v>
      </c>
      <c r="V193" t="s">
        <v>59</v>
      </c>
      <c r="W193" t="s">
        <v>90</v>
      </c>
      <c r="X193" t="s">
        <v>61</v>
      </c>
      <c r="Y193" t="s">
        <v>47</v>
      </c>
      <c r="AA193" t="s">
        <v>1200</v>
      </c>
      <c r="AF193" t="s">
        <v>1201</v>
      </c>
      <c r="AI193" t="s">
        <v>449</v>
      </c>
      <c r="AJ193" t="s">
        <v>68</v>
      </c>
      <c r="AK193" t="s">
        <v>82</v>
      </c>
      <c r="AL193" t="s">
        <v>70</v>
      </c>
      <c r="AM193">
        <v>14</v>
      </c>
      <c r="AN193">
        <v>2026</v>
      </c>
      <c r="AO193" t="s">
        <v>71</v>
      </c>
      <c r="AP193">
        <v>23</v>
      </c>
      <c r="AQ193" t="s">
        <v>71</v>
      </c>
    </row>
    <row r="194" spans="1:43" x14ac:dyDescent="0.25">
      <c r="A194">
        <v>193</v>
      </c>
      <c r="B194" t="s">
        <v>249</v>
      </c>
      <c r="C194" t="s">
        <v>1202</v>
      </c>
      <c r="D194" t="s">
        <v>1203</v>
      </c>
      <c r="E194" t="s">
        <v>1204</v>
      </c>
      <c r="F194" t="s">
        <v>47</v>
      </c>
      <c r="H194" t="s">
        <v>1205</v>
      </c>
      <c r="I194" t="s">
        <v>254</v>
      </c>
      <c r="J194" t="s">
        <v>295</v>
      </c>
      <c r="K194" s="2">
        <v>46217.343421261598</v>
      </c>
      <c r="L194" s="2">
        <v>46223.7632276968</v>
      </c>
      <c r="M194" t="s">
        <v>241</v>
      </c>
      <c r="N194" t="s">
        <v>242</v>
      </c>
      <c r="O194" t="s">
        <v>54</v>
      </c>
      <c r="P194" t="s">
        <v>55</v>
      </c>
      <c r="Q194" t="s">
        <v>161</v>
      </c>
      <c r="R194" t="s">
        <v>243</v>
      </c>
      <c r="S194" t="s">
        <v>58</v>
      </c>
      <c r="V194" t="s">
        <v>59</v>
      </c>
      <c r="W194" t="s">
        <v>90</v>
      </c>
      <c r="X194" t="s">
        <v>61</v>
      </c>
      <c r="Y194" t="s">
        <v>47</v>
      </c>
      <c r="Z194" t="s">
        <v>255</v>
      </c>
      <c r="AA194" t="s">
        <v>1206</v>
      </c>
      <c r="AC194" t="s">
        <v>58</v>
      </c>
      <c r="AD194" s="2">
        <v>46223</v>
      </c>
      <c r="AE194" t="s">
        <v>92</v>
      </c>
      <c r="AF194" t="s">
        <v>92</v>
      </c>
      <c r="AG194" t="s">
        <v>365</v>
      </c>
      <c r="AI194" t="s">
        <v>262</v>
      </c>
      <c r="AJ194" t="s">
        <v>68</v>
      </c>
      <c r="AK194" t="s">
        <v>248</v>
      </c>
      <c r="AL194" t="s">
        <v>70</v>
      </c>
      <c r="AM194">
        <v>14</v>
      </c>
      <c r="AN194">
        <v>2026</v>
      </c>
      <c r="AO194" t="s">
        <v>71</v>
      </c>
      <c r="AP194">
        <v>20</v>
      </c>
      <c r="AQ194" t="s">
        <v>71</v>
      </c>
    </row>
    <row r="195" spans="1:43" x14ac:dyDescent="0.25">
      <c r="A195">
        <v>194</v>
      </c>
      <c r="B195" t="s">
        <v>464</v>
      </c>
      <c r="C195" t="s">
        <v>1207</v>
      </c>
      <c r="D195" t="s">
        <v>1208</v>
      </c>
      <c r="E195" t="s">
        <v>1209</v>
      </c>
      <c r="F195" t="s">
        <v>47</v>
      </c>
      <c r="I195" t="s">
        <v>275</v>
      </c>
      <c r="K195" s="2">
        <v>46217.355529664397</v>
      </c>
      <c r="L195" s="2">
        <v>46218.2928553241</v>
      </c>
      <c r="M195" t="s">
        <v>76</v>
      </c>
      <c r="N195" t="s">
        <v>77</v>
      </c>
      <c r="O195" t="s">
        <v>54</v>
      </c>
      <c r="P195" t="s">
        <v>160</v>
      </c>
      <c r="Q195" t="s">
        <v>89</v>
      </c>
      <c r="R195" t="s">
        <v>57</v>
      </c>
      <c r="S195" t="s">
        <v>68</v>
      </c>
      <c r="V195" t="s">
        <v>59</v>
      </c>
      <c r="X195" t="s">
        <v>61</v>
      </c>
      <c r="Y195" t="s">
        <v>47</v>
      </c>
      <c r="AA195" t="s">
        <v>1210</v>
      </c>
      <c r="AF195" t="s">
        <v>195</v>
      </c>
      <c r="AI195" t="s">
        <v>470</v>
      </c>
      <c r="AJ195" t="s">
        <v>68</v>
      </c>
      <c r="AK195" t="s">
        <v>82</v>
      </c>
      <c r="AL195" t="s">
        <v>70</v>
      </c>
      <c r="AM195">
        <v>14</v>
      </c>
      <c r="AN195">
        <v>2026</v>
      </c>
      <c r="AO195" t="s">
        <v>71</v>
      </c>
      <c r="AP195">
        <v>15</v>
      </c>
      <c r="AQ195" t="s">
        <v>71</v>
      </c>
    </row>
    <row r="196" spans="1:43" x14ac:dyDescent="0.25">
      <c r="A196">
        <v>195</v>
      </c>
      <c r="B196" t="s">
        <v>278</v>
      </c>
      <c r="C196" t="s">
        <v>1211</v>
      </c>
      <c r="D196" t="s">
        <v>1212</v>
      </c>
      <c r="E196" t="s">
        <v>1213</v>
      </c>
      <c r="F196" t="s">
        <v>47</v>
      </c>
      <c r="I196" t="s">
        <v>284</v>
      </c>
      <c r="J196" t="s">
        <v>51</v>
      </c>
      <c r="K196" s="2">
        <v>46217.555310613403</v>
      </c>
      <c r="L196" s="2">
        <v>46218.292892673599</v>
      </c>
      <c r="M196" t="s">
        <v>76</v>
      </c>
      <c r="N196" t="s">
        <v>77</v>
      </c>
      <c r="O196" t="s">
        <v>54</v>
      </c>
      <c r="P196" t="s">
        <v>55</v>
      </c>
      <c r="Q196" t="s">
        <v>154</v>
      </c>
      <c r="R196" t="s">
        <v>57</v>
      </c>
      <c r="S196" t="s">
        <v>68</v>
      </c>
      <c r="V196" t="s">
        <v>59</v>
      </c>
      <c r="W196" t="s">
        <v>90</v>
      </c>
      <c r="X196" t="s">
        <v>61</v>
      </c>
      <c r="Y196" t="s">
        <v>47</v>
      </c>
      <c r="AA196" t="s">
        <v>1214</v>
      </c>
      <c r="AF196" t="s">
        <v>289</v>
      </c>
      <c r="AG196" t="s">
        <v>246</v>
      </c>
      <c r="AI196" t="s">
        <v>1215</v>
      </c>
      <c r="AJ196" t="s">
        <v>68</v>
      </c>
      <c r="AK196" t="s">
        <v>82</v>
      </c>
      <c r="AL196" t="s">
        <v>70</v>
      </c>
      <c r="AM196">
        <v>14</v>
      </c>
      <c r="AN196">
        <v>2026</v>
      </c>
      <c r="AO196" t="s">
        <v>71</v>
      </c>
      <c r="AP196">
        <v>15</v>
      </c>
      <c r="AQ196" t="s">
        <v>71</v>
      </c>
    </row>
    <row r="197" spans="1:43" x14ac:dyDescent="0.25">
      <c r="A197">
        <v>196</v>
      </c>
      <c r="B197" t="s">
        <v>1114</v>
      </c>
      <c r="C197" t="s">
        <v>1216</v>
      </c>
      <c r="D197" t="s">
        <v>1217</v>
      </c>
      <c r="E197" t="s">
        <v>1218</v>
      </c>
      <c r="F197" t="s">
        <v>75</v>
      </c>
      <c r="I197" t="s">
        <v>1219</v>
      </c>
      <c r="J197" t="s">
        <v>51</v>
      </c>
      <c r="K197" s="2">
        <v>46217.429287465297</v>
      </c>
      <c r="L197" s="2">
        <v>46218.403019710597</v>
      </c>
      <c r="M197" t="s">
        <v>76</v>
      </c>
      <c r="N197" t="s">
        <v>77</v>
      </c>
      <c r="O197" t="s">
        <v>54</v>
      </c>
      <c r="P197" t="s">
        <v>78</v>
      </c>
      <c r="Q197" t="s">
        <v>185</v>
      </c>
      <c r="R197" t="s">
        <v>1220</v>
      </c>
      <c r="S197" t="s">
        <v>68</v>
      </c>
      <c r="V197" t="s">
        <v>59</v>
      </c>
      <c r="W197" t="s">
        <v>90</v>
      </c>
      <c r="X197" t="s">
        <v>61</v>
      </c>
      <c r="Y197" t="s">
        <v>75</v>
      </c>
      <c r="AA197" t="s">
        <v>1221</v>
      </c>
      <c r="AF197" t="s">
        <v>1222</v>
      </c>
      <c r="AG197" t="s">
        <v>246</v>
      </c>
      <c r="AK197" t="s">
        <v>82</v>
      </c>
      <c r="AL197" t="s">
        <v>70</v>
      </c>
      <c r="AM197">
        <v>14</v>
      </c>
      <c r="AN197">
        <v>2026</v>
      </c>
      <c r="AO197" t="s">
        <v>71</v>
      </c>
      <c r="AP197">
        <v>15</v>
      </c>
      <c r="AQ197" t="s">
        <v>71</v>
      </c>
    </row>
    <row r="198" spans="1:43" x14ac:dyDescent="0.25">
      <c r="A198">
        <v>197</v>
      </c>
      <c r="B198" t="s">
        <v>1114</v>
      </c>
      <c r="C198" t="s">
        <v>1223</v>
      </c>
      <c r="D198" t="s">
        <v>1224</v>
      </c>
      <c r="E198" t="s">
        <v>1225</v>
      </c>
      <c r="F198" t="s">
        <v>75</v>
      </c>
      <c r="I198" t="s">
        <v>1219</v>
      </c>
      <c r="K198" s="2">
        <v>46217.5063234954</v>
      </c>
      <c r="L198" s="2">
        <v>46226.333341122699</v>
      </c>
      <c r="M198" t="s">
        <v>76</v>
      </c>
      <c r="N198" t="s">
        <v>77</v>
      </c>
      <c r="O198" t="s">
        <v>54</v>
      </c>
      <c r="P198" t="s">
        <v>78</v>
      </c>
      <c r="Q198" t="s">
        <v>185</v>
      </c>
      <c r="S198" t="s">
        <v>68</v>
      </c>
      <c r="V198" t="s">
        <v>59</v>
      </c>
      <c r="W198" t="s">
        <v>90</v>
      </c>
      <c r="X198" t="s">
        <v>61</v>
      </c>
      <c r="Y198" t="s">
        <v>75</v>
      </c>
      <c r="AA198" t="s">
        <v>1226</v>
      </c>
      <c r="AF198" t="s">
        <v>1222</v>
      </c>
      <c r="AK198" t="s">
        <v>82</v>
      </c>
      <c r="AL198" t="s">
        <v>70</v>
      </c>
      <c r="AM198">
        <v>14</v>
      </c>
      <c r="AN198">
        <v>2026</v>
      </c>
      <c r="AO198" t="s">
        <v>71</v>
      </c>
      <c r="AP198">
        <v>23</v>
      </c>
      <c r="AQ198" t="s">
        <v>71</v>
      </c>
    </row>
    <row r="199" spans="1:43" x14ac:dyDescent="0.25">
      <c r="A199">
        <v>198</v>
      </c>
      <c r="B199" t="s">
        <v>43</v>
      </c>
      <c r="C199" t="s">
        <v>1227</v>
      </c>
      <c r="D199" t="s">
        <v>1228</v>
      </c>
      <c r="E199" t="s">
        <v>1229</v>
      </c>
      <c r="F199" t="s">
        <v>47</v>
      </c>
      <c r="G199" t="s">
        <v>1230</v>
      </c>
      <c r="H199" t="s">
        <v>1231</v>
      </c>
      <c r="I199" t="s">
        <v>50</v>
      </c>
      <c r="J199" t="s">
        <v>51</v>
      </c>
      <c r="K199" s="2">
        <v>46218.413332326403</v>
      </c>
      <c r="L199" s="2">
        <v>46221.380660532399</v>
      </c>
      <c r="M199" t="s">
        <v>52</v>
      </c>
      <c r="N199" t="s">
        <v>53</v>
      </c>
      <c r="O199" t="s">
        <v>54</v>
      </c>
      <c r="P199" t="s">
        <v>55</v>
      </c>
      <c r="Q199" t="s">
        <v>113</v>
      </c>
      <c r="R199" t="s">
        <v>1232</v>
      </c>
      <c r="S199" t="s">
        <v>58</v>
      </c>
      <c r="T199" t="s">
        <v>50</v>
      </c>
      <c r="U199" t="s">
        <v>68</v>
      </c>
      <c r="V199" t="s">
        <v>387</v>
      </c>
      <c r="W199" t="s">
        <v>60</v>
      </c>
      <c r="X199" t="s">
        <v>61</v>
      </c>
      <c r="Y199" t="s">
        <v>47</v>
      </c>
      <c r="Z199" t="s">
        <v>114</v>
      </c>
      <c r="AA199" t="s">
        <v>1233</v>
      </c>
      <c r="AB199">
        <v>124170500</v>
      </c>
      <c r="AC199" t="s">
        <v>58</v>
      </c>
      <c r="AD199" s="2">
        <v>46219</v>
      </c>
      <c r="AE199" t="s">
        <v>1234</v>
      </c>
      <c r="AF199" t="s">
        <v>1235</v>
      </c>
      <c r="AG199" t="s">
        <v>66</v>
      </c>
      <c r="AI199" t="s">
        <v>686</v>
      </c>
      <c r="AJ199" t="s">
        <v>68</v>
      </c>
      <c r="AK199" t="s">
        <v>69</v>
      </c>
      <c r="AL199" t="s">
        <v>70</v>
      </c>
      <c r="AM199">
        <v>15</v>
      </c>
      <c r="AN199">
        <v>2026</v>
      </c>
      <c r="AO199" t="s">
        <v>71</v>
      </c>
      <c r="AP199">
        <v>18</v>
      </c>
      <c r="AQ199" t="s">
        <v>71</v>
      </c>
    </row>
    <row r="200" spans="1:43" x14ac:dyDescent="0.25">
      <c r="A200">
        <v>199</v>
      </c>
      <c r="B200" t="s">
        <v>43</v>
      </c>
      <c r="C200" t="s">
        <v>1236</v>
      </c>
      <c r="D200" t="s">
        <v>1237</v>
      </c>
      <c r="E200" t="s">
        <v>1238</v>
      </c>
      <c r="F200" t="s">
        <v>47</v>
      </c>
      <c r="I200" t="s">
        <v>50</v>
      </c>
      <c r="K200" s="2">
        <v>46218.474378472201</v>
      </c>
      <c r="L200" s="2">
        <v>46226.333341122699</v>
      </c>
      <c r="M200" t="s">
        <v>76</v>
      </c>
      <c r="N200" t="s">
        <v>77</v>
      </c>
      <c r="O200" t="s">
        <v>54</v>
      </c>
      <c r="P200" t="s">
        <v>55</v>
      </c>
      <c r="Q200" t="s">
        <v>113</v>
      </c>
      <c r="S200" t="s">
        <v>68</v>
      </c>
      <c r="V200" t="s">
        <v>59</v>
      </c>
      <c r="W200" t="s">
        <v>60</v>
      </c>
      <c r="X200" t="s">
        <v>61</v>
      </c>
      <c r="Y200" t="s">
        <v>47</v>
      </c>
      <c r="AA200" t="s">
        <v>1239</v>
      </c>
      <c r="AF200" t="s">
        <v>1235</v>
      </c>
      <c r="AI200" t="s">
        <v>686</v>
      </c>
      <c r="AJ200" t="s">
        <v>68</v>
      </c>
      <c r="AK200" t="s">
        <v>82</v>
      </c>
      <c r="AL200" t="s">
        <v>70</v>
      </c>
      <c r="AM200">
        <v>15</v>
      </c>
      <c r="AN200">
        <v>2026</v>
      </c>
      <c r="AO200" t="s">
        <v>71</v>
      </c>
      <c r="AP200">
        <v>23</v>
      </c>
      <c r="AQ200" t="s">
        <v>71</v>
      </c>
    </row>
    <row r="201" spans="1:43" x14ac:dyDescent="0.25">
      <c r="A201">
        <v>200</v>
      </c>
      <c r="B201" t="s">
        <v>83</v>
      </c>
      <c r="C201" t="s">
        <v>1240</v>
      </c>
      <c r="D201" t="s">
        <v>1241</v>
      </c>
      <c r="E201" t="s">
        <v>1242</v>
      </c>
      <c r="F201" t="s">
        <v>47</v>
      </c>
      <c r="I201" t="s">
        <v>193</v>
      </c>
      <c r="K201" s="2">
        <v>46218.745595717599</v>
      </c>
      <c r="L201" s="2">
        <v>46227.333390821797</v>
      </c>
      <c r="M201" t="s">
        <v>76</v>
      </c>
      <c r="N201" t="s">
        <v>77</v>
      </c>
      <c r="O201" t="s">
        <v>54</v>
      </c>
      <c r="P201" t="s">
        <v>88</v>
      </c>
      <c r="Q201" t="s">
        <v>218</v>
      </c>
      <c r="S201" t="s">
        <v>68</v>
      </c>
      <c r="V201" t="s">
        <v>59</v>
      </c>
      <c r="W201" t="s">
        <v>90</v>
      </c>
      <c r="X201" t="s">
        <v>61</v>
      </c>
      <c r="Y201" t="s">
        <v>47</v>
      </c>
      <c r="AA201" t="s">
        <v>1243</v>
      </c>
      <c r="AF201" t="s">
        <v>195</v>
      </c>
      <c r="AI201" t="s">
        <v>323</v>
      </c>
      <c r="AJ201" t="s">
        <v>68</v>
      </c>
      <c r="AK201" t="s">
        <v>82</v>
      </c>
      <c r="AL201" t="s">
        <v>70</v>
      </c>
      <c r="AM201">
        <v>15</v>
      </c>
      <c r="AN201">
        <v>2026</v>
      </c>
      <c r="AO201" t="s">
        <v>71</v>
      </c>
      <c r="AP201">
        <v>24</v>
      </c>
      <c r="AQ201" t="s">
        <v>71</v>
      </c>
    </row>
    <row r="202" spans="1:43" x14ac:dyDescent="0.25">
      <c r="A202">
        <v>201</v>
      </c>
      <c r="B202" t="s">
        <v>83</v>
      </c>
      <c r="C202" t="s">
        <v>1244</v>
      </c>
      <c r="D202" t="s">
        <v>1245</v>
      </c>
      <c r="E202" t="s">
        <v>1246</v>
      </c>
      <c r="F202" t="s">
        <v>47</v>
      </c>
      <c r="I202" t="s">
        <v>193</v>
      </c>
      <c r="K202" s="2">
        <v>46218.7493511227</v>
      </c>
      <c r="L202" s="2">
        <v>46227.333390821797</v>
      </c>
      <c r="M202" t="s">
        <v>76</v>
      </c>
      <c r="N202" t="s">
        <v>77</v>
      </c>
      <c r="O202" t="s">
        <v>54</v>
      </c>
      <c r="P202" t="s">
        <v>55</v>
      </c>
      <c r="Q202" t="s">
        <v>185</v>
      </c>
      <c r="S202" t="s">
        <v>68</v>
      </c>
      <c r="V202" t="s">
        <v>59</v>
      </c>
      <c r="W202" t="s">
        <v>90</v>
      </c>
      <c r="X202" t="s">
        <v>61</v>
      </c>
      <c r="Y202" t="s">
        <v>47</v>
      </c>
      <c r="AA202" t="s">
        <v>1247</v>
      </c>
      <c r="AF202" t="s">
        <v>195</v>
      </c>
      <c r="AI202" t="s">
        <v>328</v>
      </c>
      <c r="AJ202" t="s">
        <v>68</v>
      </c>
      <c r="AK202" t="s">
        <v>82</v>
      </c>
      <c r="AL202" t="s">
        <v>70</v>
      </c>
      <c r="AM202">
        <v>15</v>
      </c>
      <c r="AN202">
        <v>2026</v>
      </c>
      <c r="AO202" t="s">
        <v>71</v>
      </c>
      <c r="AP202">
        <v>24</v>
      </c>
      <c r="AQ202" t="s">
        <v>71</v>
      </c>
    </row>
    <row r="203" spans="1:43" x14ac:dyDescent="0.25">
      <c r="A203">
        <v>202</v>
      </c>
      <c r="B203" t="s">
        <v>106</v>
      </c>
      <c r="C203" t="s">
        <v>1248</v>
      </c>
      <c r="D203" t="s">
        <v>1249</v>
      </c>
      <c r="E203" t="s">
        <v>1250</v>
      </c>
      <c r="F203" t="s">
        <v>47</v>
      </c>
      <c r="I203" t="s">
        <v>112</v>
      </c>
      <c r="K203" s="2">
        <v>46218.603808217602</v>
      </c>
      <c r="L203" s="2">
        <v>46218.684108449102</v>
      </c>
      <c r="M203" t="s">
        <v>76</v>
      </c>
      <c r="N203" t="s">
        <v>77</v>
      </c>
      <c r="O203" t="s">
        <v>54</v>
      </c>
      <c r="P203" t="s">
        <v>55</v>
      </c>
      <c r="Q203" t="s">
        <v>161</v>
      </c>
      <c r="R203" t="s">
        <v>57</v>
      </c>
      <c r="S203" t="s">
        <v>68</v>
      </c>
      <c r="V203" t="s">
        <v>59</v>
      </c>
      <c r="W203" t="s">
        <v>60</v>
      </c>
      <c r="X203" t="s">
        <v>61</v>
      </c>
      <c r="Y203" t="s">
        <v>47</v>
      </c>
      <c r="AA203" t="s">
        <v>1251</v>
      </c>
      <c r="AF203" t="s">
        <v>117</v>
      </c>
      <c r="AI203" t="s">
        <v>212</v>
      </c>
      <c r="AJ203" t="s">
        <v>68</v>
      </c>
      <c r="AK203" t="s">
        <v>82</v>
      </c>
      <c r="AL203" t="s">
        <v>70</v>
      </c>
      <c r="AM203">
        <v>15</v>
      </c>
      <c r="AN203">
        <v>2026</v>
      </c>
      <c r="AO203" t="s">
        <v>71</v>
      </c>
      <c r="AP203">
        <v>15</v>
      </c>
      <c r="AQ203" t="s">
        <v>71</v>
      </c>
    </row>
    <row r="204" spans="1:43" x14ac:dyDescent="0.25">
      <c r="A204">
        <v>203</v>
      </c>
      <c r="B204" t="s">
        <v>213</v>
      </c>
      <c r="C204" t="s">
        <v>1252</v>
      </c>
      <c r="D204" t="s">
        <v>1253</v>
      </c>
      <c r="E204" t="s">
        <v>1254</v>
      </c>
      <c r="F204" t="s">
        <v>47</v>
      </c>
      <c r="I204" t="s">
        <v>217</v>
      </c>
      <c r="K204" s="2">
        <v>46218.617669097199</v>
      </c>
      <c r="L204" s="2">
        <v>46218.684112002302</v>
      </c>
      <c r="M204" t="s">
        <v>76</v>
      </c>
      <c r="N204" t="s">
        <v>77</v>
      </c>
      <c r="O204" t="s">
        <v>54</v>
      </c>
      <c r="P204" t="s">
        <v>174</v>
      </c>
      <c r="Q204" t="s">
        <v>89</v>
      </c>
      <c r="R204" t="s">
        <v>57</v>
      </c>
      <c r="S204" t="s">
        <v>68</v>
      </c>
      <c r="V204" t="s">
        <v>59</v>
      </c>
      <c r="W204" t="s">
        <v>90</v>
      </c>
      <c r="X204" t="s">
        <v>61</v>
      </c>
      <c r="Y204" t="s">
        <v>47</v>
      </c>
      <c r="AA204" t="s">
        <v>1255</v>
      </c>
      <c r="AF204" t="s">
        <v>1256</v>
      </c>
      <c r="AI204" t="s">
        <v>739</v>
      </c>
      <c r="AJ204" t="s">
        <v>68</v>
      </c>
      <c r="AK204" t="s">
        <v>82</v>
      </c>
      <c r="AL204" t="s">
        <v>70</v>
      </c>
      <c r="AM204">
        <v>15</v>
      </c>
      <c r="AN204">
        <v>2026</v>
      </c>
      <c r="AO204" t="s">
        <v>71</v>
      </c>
      <c r="AP204">
        <v>15</v>
      </c>
      <c r="AQ204" t="s">
        <v>71</v>
      </c>
    </row>
    <row r="205" spans="1:43" x14ac:dyDescent="0.25">
      <c r="A205">
        <v>204</v>
      </c>
      <c r="B205" t="s">
        <v>345</v>
      </c>
      <c r="C205" t="s">
        <v>1257</v>
      </c>
      <c r="D205" t="s">
        <v>1258</v>
      </c>
      <c r="E205" t="s">
        <v>1259</v>
      </c>
      <c r="F205" t="s">
        <v>47</v>
      </c>
      <c r="G205" t="s">
        <v>1260</v>
      </c>
      <c r="H205" t="s">
        <v>1261</v>
      </c>
      <c r="I205" t="s">
        <v>351</v>
      </c>
      <c r="J205" t="s">
        <v>51</v>
      </c>
      <c r="K205" s="2">
        <v>46218.716119525503</v>
      </c>
      <c r="L205" s="2">
        <v>46232.3779993403</v>
      </c>
      <c r="M205" t="s">
        <v>52</v>
      </c>
      <c r="N205" t="s">
        <v>53</v>
      </c>
      <c r="O205" t="s">
        <v>54</v>
      </c>
      <c r="P205" t="s">
        <v>160</v>
      </c>
      <c r="Q205" t="s">
        <v>161</v>
      </c>
      <c r="R205" t="s">
        <v>57</v>
      </c>
      <c r="S205" t="s">
        <v>58</v>
      </c>
      <c r="V205" t="s">
        <v>59</v>
      </c>
      <c r="W205" t="s">
        <v>90</v>
      </c>
      <c r="X205" t="s">
        <v>61</v>
      </c>
      <c r="Y205" t="s">
        <v>47</v>
      </c>
      <c r="Z205" t="s">
        <v>186</v>
      </c>
      <c r="AA205" t="s">
        <v>1262</v>
      </c>
      <c r="AB205">
        <v>119813000</v>
      </c>
      <c r="AC205" t="s">
        <v>58</v>
      </c>
      <c r="AD205" s="2">
        <v>46231</v>
      </c>
      <c r="AE205" t="s">
        <v>1263</v>
      </c>
      <c r="AF205" t="s">
        <v>65</v>
      </c>
      <c r="AG205" t="s">
        <v>66</v>
      </c>
      <c r="AI205" t="s">
        <v>1264</v>
      </c>
      <c r="AJ205" t="s">
        <v>68</v>
      </c>
      <c r="AK205" t="s">
        <v>69</v>
      </c>
      <c r="AL205" t="s">
        <v>70</v>
      </c>
      <c r="AM205">
        <v>15</v>
      </c>
      <c r="AN205">
        <v>2026</v>
      </c>
      <c r="AO205" t="s">
        <v>71</v>
      </c>
      <c r="AP205">
        <v>29</v>
      </c>
      <c r="AQ205" t="s">
        <v>71</v>
      </c>
    </row>
    <row r="206" spans="1:43" x14ac:dyDescent="0.25">
      <c r="A206">
        <v>205</v>
      </c>
      <c r="B206" t="s">
        <v>1073</v>
      </c>
      <c r="C206" t="s">
        <v>1265</v>
      </c>
      <c r="D206" t="s">
        <v>1266</v>
      </c>
      <c r="E206" t="s">
        <v>1267</v>
      </c>
      <c r="F206" t="s">
        <v>47</v>
      </c>
      <c r="I206" t="s">
        <v>1268</v>
      </c>
      <c r="K206" s="2">
        <v>46218.516438159699</v>
      </c>
      <c r="L206" s="2">
        <v>46226.333341122699</v>
      </c>
      <c r="M206" t="s">
        <v>76</v>
      </c>
      <c r="N206" t="s">
        <v>77</v>
      </c>
      <c r="O206" t="s">
        <v>54</v>
      </c>
      <c r="P206" t="s">
        <v>88</v>
      </c>
      <c r="Q206" t="s">
        <v>185</v>
      </c>
      <c r="S206" t="s">
        <v>68</v>
      </c>
      <c r="V206" t="s">
        <v>59</v>
      </c>
      <c r="W206" t="s">
        <v>60</v>
      </c>
      <c r="X206" t="s">
        <v>61</v>
      </c>
      <c r="Y206" t="s">
        <v>47</v>
      </c>
      <c r="AA206" t="s">
        <v>1269</v>
      </c>
      <c r="AF206" t="s">
        <v>117</v>
      </c>
      <c r="AI206" t="s">
        <v>1270</v>
      </c>
      <c r="AJ206" t="s">
        <v>68</v>
      </c>
      <c r="AK206" t="s">
        <v>82</v>
      </c>
      <c r="AL206" t="s">
        <v>70</v>
      </c>
      <c r="AM206">
        <v>15</v>
      </c>
      <c r="AN206">
        <v>2026</v>
      </c>
      <c r="AO206" t="s">
        <v>71</v>
      </c>
      <c r="AP206">
        <v>23</v>
      </c>
      <c r="AQ206" t="s">
        <v>71</v>
      </c>
    </row>
    <row r="207" spans="1:43" x14ac:dyDescent="0.25">
      <c r="A207">
        <v>206</v>
      </c>
      <c r="B207" t="s">
        <v>1073</v>
      </c>
      <c r="C207" t="s">
        <v>1271</v>
      </c>
      <c r="D207" t="s">
        <v>1272</v>
      </c>
      <c r="E207" t="s">
        <v>1273</v>
      </c>
      <c r="F207" t="s">
        <v>47</v>
      </c>
      <c r="I207" t="s">
        <v>1268</v>
      </c>
      <c r="K207" s="2">
        <v>46218.675905555603</v>
      </c>
      <c r="L207" s="2">
        <v>46227.333390821797</v>
      </c>
      <c r="M207" t="s">
        <v>76</v>
      </c>
      <c r="N207" t="s">
        <v>77</v>
      </c>
      <c r="O207" t="s">
        <v>54</v>
      </c>
      <c r="P207" t="s">
        <v>55</v>
      </c>
      <c r="Q207" t="s">
        <v>79</v>
      </c>
      <c r="S207" t="s">
        <v>68</v>
      </c>
      <c r="V207" t="s">
        <v>59</v>
      </c>
      <c r="W207" t="s">
        <v>60</v>
      </c>
      <c r="X207" t="s">
        <v>61</v>
      </c>
      <c r="Y207" t="s">
        <v>47</v>
      </c>
      <c r="AA207" t="s">
        <v>1274</v>
      </c>
      <c r="AF207" t="s">
        <v>117</v>
      </c>
      <c r="AI207" t="s">
        <v>1270</v>
      </c>
      <c r="AJ207" t="s">
        <v>68</v>
      </c>
      <c r="AK207" t="s">
        <v>82</v>
      </c>
      <c r="AL207" t="s">
        <v>70</v>
      </c>
      <c r="AM207">
        <v>15</v>
      </c>
      <c r="AN207">
        <v>2026</v>
      </c>
      <c r="AO207" t="s">
        <v>71</v>
      </c>
      <c r="AP207">
        <v>24</v>
      </c>
      <c r="AQ207" t="s">
        <v>71</v>
      </c>
    </row>
    <row r="208" spans="1:43" x14ac:dyDescent="0.25">
      <c r="A208">
        <v>207</v>
      </c>
      <c r="B208" t="s">
        <v>1073</v>
      </c>
      <c r="C208" t="s">
        <v>1275</v>
      </c>
      <c r="D208" t="s">
        <v>1276</v>
      </c>
      <c r="E208" t="s">
        <v>1277</v>
      </c>
      <c r="F208" t="s">
        <v>47</v>
      </c>
      <c r="I208" t="s">
        <v>1268</v>
      </c>
      <c r="K208" s="2">
        <v>46218.680387997701</v>
      </c>
      <c r="L208" s="2">
        <v>46219.291784606503</v>
      </c>
      <c r="M208" t="s">
        <v>76</v>
      </c>
      <c r="N208" t="s">
        <v>77</v>
      </c>
      <c r="O208" t="s">
        <v>54</v>
      </c>
      <c r="P208" t="s">
        <v>88</v>
      </c>
      <c r="Q208" t="s">
        <v>185</v>
      </c>
      <c r="R208" t="s">
        <v>57</v>
      </c>
      <c r="S208" t="s">
        <v>68</v>
      </c>
      <c r="V208" t="s">
        <v>59</v>
      </c>
      <c r="W208" t="s">
        <v>60</v>
      </c>
      <c r="X208" t="s">
        <v>61</v>
      </c>
      <c r="Y208" t="s">
        <v>47</v>
      </c>
      <c r="AA208" t="s">
        <v>1278</v>
      </c>
      <c r="AF208" t="s">
        <v>117</v>
      </c>
      <c r="AI208" t="s">
        <v>1270</v>
      </c>
      <c r="AJ208" t="s">
        <v>68</v>
      </c>
      <c r="AK208" t="s">
        <v>82</v>
      </c>
      <c r="AL208" t="s">
        <v>70</v>
      </c>
      <c r="AM208">
        <v>15</v>
      </c>
      <c r="AN208">
        <v>2026</v>
      </c>
      <c r="AO208" t="s">
        <v>71</v>
      </c>
      <c r="AP208">
        <v>16</v>
      </c>
      <c r="AQ208" t="s">
        <v>71</v>
      </c>
    </row>
    <row r="209" spans="1:43" x14ac:dyDescent="0.25">
      <c r="A209">
        <v>208</v>
      </c>
      <c r="B209" t="s">
        <v>129</v>
      </c>
      <c r="C209" t="s">
        <v>1279</v>
      </c>
      <c r="D209" t="s">
        <v>1280</v>
      </c>
      <c r="E209" t="s">
        <v>1281</v>
      </c>
      <c r="F209" t="s">
        <v>47</v>
      </c>
      <c r="I209" t="s">
        <v>133</v>
      </c>
      <c r="K209" s="2">
        <v>46218.671128784699</v>
      </c>
      <c r="L209" s="2">
        <v>46219.522445636598</v>
      </c>
      <c r="M209" t="s">
        <v>76</v>
      </c>
      <c r="N209" t="s">
        <v>77</v>
      </c>
      <c r="O209" t="s">
        <v>54</v>
      </c>
      <c r="P209" t="s">
        <v>88</v>
      </c>
      <c r="Q209" t="s">
        <v>89</v>
      </c>
      <c r="R209" t="s">
        <v>1179</v>
      </c>
      <c r="S209" t="s">
        <v>68</v>
      </c>
      <c r="V209" t="s">
        <v>59</v>
      </c>
      <c r="W209" t="s">
        <v>60</v>
      </c>
      <c r="X209" t="s">
        <v>61</v>
      </c>
      <c r="Y209" t="s">
        <v>47</v>
      </c>
      <c r="AA209" t="s">
        <v>1283</v>
      </c>
      <c r="AF209" t="s">
        <v>117</v>
      </c>
      <c r="AI209" t="s">
        <v>1284</v>
      </c>
      <c r="AJ209" t="s">
        <v>68</v>
      </c>
      <c r="AK209" t="s">
        <v>82</v>
      </c>
      <c r="AL209" t="s">
        <v>70</v>
      </c>
      <c r="AM209">
        <v>15</v>
      </c>
      <c r="AN209">
        <v>2026</v>
      </c>
      <c r="AO209" t="s">
        <v>71</v>
      </c>
      <c r="AP209">
        <v>16</v>
      </c>
      <c r="AQ209" t="s">
        <v>71</v>
      </c>
    </row>
    <row r="210" spans="1:43" x14ac:dyDescent="0.25">
      <c r="A210">
        <v>209</v>
      </c>
      <c r="B210" t="s">
        <v>129</v>
      </c>
      <c r="C210" t="s">
        <v>1285</v>
      </c>
      <c r="D210" t="s">
        <v>1286</v>
      </c>
      <c r="E210" t="s">
        <v>1287</v>
      </c>
      <c r="F210" t="s">
        <v>47</v>
      </c>
      <c r="H210" t="s">
        <v>1288</v>
      </c>
      <c r="I210" t="s">
        <v>133</v>
      </c>
      <c r="J210" t="s">
        <v>51</v>
      </c>
      <c r="K210" s="2">
        <v>46218.830551886596</v>
      </c>
      <c r="L210" s="2">
        <v>46222.634854513897</v>
      </c>
      <c r="M210" t="s">
        <v>241</v>
      </c>
      <c r="N210" t="s">
        <v>242</v>
      </c>
      <c r="O210" t="s">
        <v>54</v>
      </c>
      <c r="P210" t="s">
        <v>174</v>
      </c>
      <c r="Q210" t="s">
        <v>113</v>
      </c>
      <c r="R210" t="s">
        <v>1179</v>
      </c>
      <c r="S210" t="s">
        <v>58</v>
      </c>
      <c r="V210" t="s">
        <v>59</v>
      </c>
      <c r="W210" t="s">
        <v>60</v>
      </c>
      <c r="X210" t="s">
        <v>61</v>
      </c>
      <c r="Y210" t="s">
        <v>47</v>
      </c>
      <c r="Z210" t="s">
        <v>62</v>
      </c>
      <c r="AA210" t="s">
        <v>1289</v>
      </c>
      <c r="AC210" t="s">
        <v>58</v>
      </c>
      <c r="AD210" s="2">
        <v>46220</v>
      </c>
      <c r="AE210" t="s">
        <v>65</v>
      </c>
      <c r="AF210" t="s">
        <v>117</v>
      </c>
      <c r="AG210" t="s">
        <v>246</v>
      </c>
      <c r="AI210" t="s">
        <v>1290</v>
      </c>
      <c r="AJ210" t="s">
        <v>68</v>
      </c>
      <c r="AK210" t="s">
        <v>248</v>
      </c>
      <c r="AL210" t="s">
        <v>70</v>
      </c>
      <c r="AM210">
        <v>15</v>
      </c>
      <c r="AN210">
        <v>2026</v>
      </c>
      <c r="AO210" t="s">
        <v>71</v>
      </c>
      <c r="AP210">
        <v>19</v>
      </c>
      <c r="AQ210" t="s">
        <v>71</v>
      </c>
    </row>
    <row r="211" spans="1:43" x14ac:dyDescent="0.25">
      <c r="A211">
        <v>210</v>
      </c>
      <c r="B211" t="s">
        <v>229</v>
      </c>
      <c r="C211" t="s">
        <v>1291</v>
      </c>
      <c r="D211" t="s">
        <v>1292</v>
      </c>
      <c r="E211" t="s">
        <v>1293</v>
      </c>
      <c r="F211" t="s">
        <v>47</v>
      </c>
      <c r="I211" t="s">
        <v>233</v>
      </c>
      <c r="K211" s="2">
        <v>46218.681944872696</v>
      </c>
      <c r="L211" s="2">
        <v>46227.333390821797</v>
      </c>
      <c r="M211" t="s">
        <v>76</v>
      </c>
      <c r="N211" t="s">
        <v>77</v>
      </c>
      <c r="O211" t="s">
        <v>54</v>
      </c>
      <c r="P211" t="s">
        <v>55</v>
      </c>
      <c r="Q211" t="s">
        <v>113</v>
      </c>
      <c r="S211" t="s">
        <v>68</v>
      </c>
      <c r="V211" t="s">
        <v>59</v>
      </c>
      <c r="W211" t="s">
        <v>90</v>
      </c>
      <c r="X211" t="s">
        <v>61</v>
      </c>
      <c r="Y211" t="s">
        <v>47</v>
      </c>
      <c r="AA211" t="s">
        <v>1294</v>
      </c>
      <c r="AF211" t="s">
        <v>245</v>
      </c>
      <c r="AI211" t="s">
        <v>1295</v>
      </c>
      <c r="AJ211" t="s">
        <v>68</v>
      </c>
      <c r="AK211" t="s">
        <v>82</v>
      </c>
      <c r="AL211" t="s">
        <v>70</v>
      </c>
      <c r="AM211">
        <v>15</v>
      </c>
      <c r="AN211">
        <v>2026</v>
      </c>
      <c r="AO211" t="s">
        <v>71</v>
      </c>
      <c r="AP211">
        <v>24</v>
      </c>
      <c r="AQ211" t="s">
        <v>71</v>
      </c>
    </row>
    <row r="212" spans="1:43" x14ac:dyDescent="0.25">
      <c r="A212">
        <v>211</v>
      </c>
      <c r="B212" t="s">
        <v>249</v>
      </c>
      <c r="C212" t="s">
        <v>1296</v>
      </c>
      <c r="D212" t="s">
        <v>1297</v>
      </c>
      <c r="E212" t="s">
        <v>1298</v>
      </c>
      <c r="F212" t="s">
        <v>47</v>
      </c>
      <c r="I212" t="s">
        <v>254</v>
      </c>
      <c r="K212" s="2">
        <v>46218.583418634298</v>
      </c>
      <c r="L212" s="2">
        <v>46218.684107372697</v>
      </c>
      <c r="M212" t="s">
        <v>76</v>
      </c>
      <c r="N212" t="s">
        <v>77</v>
      </c>
      <c r="O212" t="s">
        <v>54</v>
      </c>
      <c r="P212" t="s">
        <v>55</v>
      </c>
      <c r="Q212" t="s">
        <v>161</v>
      </c>
      <c r="R212" t="s">
        <v>57</v>
      </c>
      <c r="S212" t="s">
        <v>68</v>
      </c>
      <c r="V212" t="s">
        <v>59</v>
      </c>
      <c r="W212" t="s">
        <v>90</v>
      </c>
      <c r="X212" t="s">
        <v>61</v>
      </c>
      <c r="Y212" t="s">
        <v>47</v>
      </c>
      <c r="AA212" t="s">
        <v>1299</v>
      </c>
      <c r="AF212" t="s">
        <v>92</v>
      </c>
      <c r="AI212" t="s">
        <v>551</v>
      </c>
      <c r="AJ212" t="s">
        <v>68</v>
      </c>
      <c r="AK212" t="s">
        <v>82</v>
      </c>
      <c r="AL212" t="s">
        <v>70</v>
      </c>
      <c r="AM212">
        <v>15</v>
      </c>
      <c r="AN212">
        <v>2026</v>
      </c>
      <c r="AO212" t="s">
        <v>71</v>
      </c>
      <c r="AP212">
        <v>15</v>
      </c>
      <c r="AQ212" t="s">
        <v>71</v>
      </c>
    </row>
    <row r="213" spans="1:43" x14ac:dyDescent="0.25">
      <c r="A213">
        <v>212</v>
      </c>
      <c r="B213" t="s">
        <v>249</v>
      </c>
      <c r="C213" t="s">
        <v>1300</v>
      </c>
      <c r="D213" t="s">
        <v>1301</v>
      </c>
      <c r="E213" t="s">
        <v>1302</v>
      </c>
      <c r="F213" t="s">
        <v>47</v>
      </c>
      <c r="I213" t="s">
        <v>254</v>
      </c>
      <c r="K213" s="2">
        <v>46218.586614085601</v>
      </c>
      <c r="L213" s="2">
        <v>46218.684107141198</v>
      </c>
      <c r="M213" t="s">
        <v>76</v>
      </c>
      <c r="N213" t="s">
        <v>77</v>
      </c>
      <c r="O213" t="s">
        <v>54</v>
      </c>
      <c r="P213" t="s">
        <v>55</v>
      </c>
      <c r="Q213" t="s">
        <v>147</v>
      </c>
      <c r="R213" t="s">
        <v>57</v>
      </c>
      <c r="S213" t="s">
        <v>68</v>
      </c>
      <c r="V213" t="s">
        <v>59</v>
      </c>
      <c r="W213" t="s">
        <v>90</v>
      </c>
      <c r="X213" t="s">
        <v>61</v>
      </c>
      <c r="Y213" t="s">
        <v>47</v>
      </c>
      <c r="AA213" t="s">
        <v>1303</v>
      </c>
      <c r="AF213" t="s">
        <v>92</v>
      </c>
      <c r="AI213" t="s">
        <v>551</v>
      </c>
      <c r="AJ213" t="s">
        <v>68</v>
      </c>
      <c r="AK213" t="s">
        <v>82</v>
      </c>
      <c r="AL213" t="s">
        <v>70</v>
      </c>
      <c r="AM213">
        <v>15</v>
      </c>
      <c r="AN213">
        <v>2026</v>
      </c>
      <c r="AO213" t="s">
        <v>71</v>
      </c>
      <c r="AP213">
        <v>15</v>
      </c>
      <c r="AQ213" t="s">
        <v>71</v>
      </c>
    </row>
    <row r="214" spans="1:43" x14ac:dyDescent="0.25">
      <c r="A214">
        <v>213</v>
      </c>
      <c r="B214" t="s">
        <v>379</v>
      </c>
      <c r="C214" t="s">
        <v>1304</v>
      </c>
      <c r="D214" t="s">
        <v>1305</v>
      </c>
      <c r="E214" t="s">
        <v>1306</v>
      </c>
      <c r="F214" t="s">
        <v>274</v>
      </c>
      <c r="G214" t="s">
        <v>1307</v>
      </c>
      <c r="H214" t="s">
        <v>1308</v>
      </c>
      <c r="I214" t="s">
        <v>1309</v>
      </c>
      <c r="J214" t="s">
        <v>51</v>
      </c>
      <c r="K214" s="2">
        <v>46218.571558182899</v>
      </c>
      <c r="L214" s="2">
        <v>46223.916033645801</v>
      </c>
      <c r="M214" t="s">
        <v>52</v>
      </c>
      <c r="N214" t="s">
        <v>53</v>
      </c>
      <c r="O214" t="s">
        <v>54</v>
      </c>
      <c r="P214" t="s">
        <v>55</v>
      </c>
      <c r="Q214" t="s">
        <v>56</v>
      </c>
      <c r="R214" t="s">
        <v>1310</v>
      </c>
      <c r="S214" t="s">
        <v>58</v>
      </c>
      <c r="V214" t="s">
        <v>59</v>
      </c>
      <c r="W214" t="s">
        <v>90</v>
      </c>
      <c r="X214" t="s">
        <v>61</v>
      </c>
      <c r="Y214" t="s">
        <v>274</v>
      </c>
      <c r="Z214" t="s">
        <v>372</v>
      </c>
      <c r="AA214" t="s">
        <v>1311</v>
      </c>
      <c r="AB214">
        <v>162996500</v>
      </c>
      <c r="AC214" t="s">
        <v>58</v>
      </c>
      <c r="AD214" s="2">
        <v>46221</v>
      </c>
      <c r="AE214" t="s">
        <v>1312</v>
      </c>
      <c r="AF214" t="s">
        <v>1313</v>
      </c>
      <c r="AG214" t="s">
        <v>66</v>
      </c>
      <c r="AK214" t="s">
        <v>69</v>
      </c>
      <c r="AL214" t="s">
        <v>277</v>
      </c>
      <c r="AM214">
        <v>15</v>
      </c>
      <c r="AN214">
        <v>2026</v>
      </c>
      <c r="AO214" t="s">
        <v>71</v>
      </c>
      <c r="AP214">
        <v>20</v>
      </c>
      <c r="AQ214" t="s">
        <v>71</v>
      </c>
    </row>
    <row r="215" spans="1:43" x14ac:dyDescent="0.25">
      <c r="A215">
        <v>214</v>
      </c>
      <c r="B215" t="s">
        <v>263</v>
      </c>
      <c r="C215" t="s">
        <v>1314</v>
      </c>
      <c r="D215" t="s">
        <v>1315</v>
      </c>
      <c r="E215" t="s">
        <v>1316</v>
      </c>
      <c r="F215" t="s">
        <v>47</v>
      </c>
      <c r="I215" t="s">
        <v>267</v>
      </c>
      <c r="K215" s="2">
        <v>46218.639898379603</v>
      </c>
      <c r="L215" s="2">
        <v>46226.333341122699</v>
      </c>
      <c r="M215" t="s">
        <v>76</v>
      </c>
      <c r="N215" t="s">
        <v>77</v>
      </c>
      <c r="O215" t="s">
        <v>54</v>
      </c>
      <c r="P215" t="s">
        <v>55</v>
      </c>
      <c r="Q215" t="s">
        <v>89</v>
      </c>
      <c r="S215" t="s">
        <v>68</v>
      </c>
      <c r="V215" t="s">
        <v>59</v>
      </c>
      <c r="W215" t="s">
        <v>90</v>
      </c>
      <c r="X215" t="s">
        <v>61</v>
      </c>
      <c r="Y215" t="s">
        <v>47</v>
      </c>
      <c r="AA215" t="s">
        <v>1317</v>
      </c>
      <c r="AF215" t="s">
        <v>92</v>
      </c>
      <c r="AI215" t="s">
        <v>269</v>
      </c>
      <c r="AJ215" t="s">
        <v>68</v>
      </c>
      <c r="AK215" t="s">
        <v>82</v>
      </c>
      <c r="AL215" t="s">
        <v>70</v>
      </c>
      <c r="AM215">
        <v>15</v>
      </c>
      <c r="AN215">
        <v>2026</v>
      </c>
      <c r="AO215" t="s">
        <v>71</v>
      </c>
      <c r="AP215">
        <v>23</v>
      </c>
      <c r="AQ215" t="s">
        <v>71</v>
      </c>
    </row>
    <row r="216" spans="1:43" x14ac:dyDescent="0.25">
      <c r="A216">
        <v>215</v>
      </c>
      <c r="B216" t="s">
        <v>83</v>
      </c>
      <c r="C216" t="s">
        <v>1318</v>
      </c>
      <c r="D216" t="s">
        <v>1319</v>
      </c>
      <c r="E216" t="s">
        <v>1320</v>
      </c>
      <c r="F216" t="s">
        <v>47</v>
      </c>
      <c r="H216" t="s">
        <v>1321</v>
      </c>
      <c r="I216" t="s">
        <v>193</v>
      </c>
      <c r="J216" t="s">
        <v>51</v>
      </c>
      <c r="K216" s="2">
        <v>46219.393334722197</v>
      </c>
      <c r="L216" s="2">
        <v>46220.6993552083</v>
      </c>
      <c r="M216" t="s">
        <v>241</v>
      </c>
      <c r="N216" t="s">
        <v>242</v>
      </c>
      <c r="O216" t="s">
        <v>54</v>
      </c>
      <c r="P216" t="s">
        <v>174</v>
      </c>
      <c r="Q216" t="s">
        <v>89</v>
      </c>
      <c r="R216" t="s">
        <v>57</v>
      </c>
      <c r="S216" t="s">
        <v>481</v>
      </c>
      <c r="V216" t="s">
        <v>59</v>
      </c>
      <c r="W216" t="s">
        <v>90</v>
      </c>
      <c r="X216" t="s">
        <v>61</v>
      </c>
      <c r="Y216" t="s">
        <v>47</v>
      </c>
      <c r="Z216" t="s">
        <v>176</v>
      </c>
      <c r="AA216" t="s">
        <v>1322</v>
      </c>
      <c r="AC216" t="s">
        <v>481</v>
      </c>
      <c r="AD216" s="2">
        <v>46220</v>
      </c>
      <c r="AE216" t="s">
        <v>495</v>
      </c>
      <c r="AF216" t="s">
        <v>195</v>
      </c>
      <c r="AG216" t="s">
        <v>246</v>
      </c>
      <c r="AI216" t="s">
        <v>431</v>
      </c>
      <c r="AJ216" t="s">
        <v>68</v>
      </c>
      <c r="AK216" t="s">
        <v>248</v>
      </c>
      <c r="AL216" t="s">
        <v>70</v>
      </c>
      <c r="AM216">
        <v>16</v>
      </c>
      <c r="AN216">
        <v>2026</v>
      </c>
      <c r="AO216" t="s">
        <v>71</v>
      </c>
      <c r="AP216">
        <v>17</v>
      </c>
      <c r="AQ216" t="s">
        <v>71</v>
      </c>
    </row>
    <row r="217" spans="1:43" x14ac:dyDescent="0.25">
      <c r="A217">
        <v>216</v>
      </c>
      <c r="B217" t="s">
        <v>83</v>
      </c>
      <c r="C217" t="s">
        <v>1323</v>
      </c>
      <c r="D217" t="s">
        <v>1324</v>
      </c>
      <c r="E217" t="s">
        <v>1325</v>
      </c>
      <c r="F217" t="s">
        <v>47</v>
      </c>
      <c r="I217" t="s">
        <v>87</v>
      </c>
      <c r="K217" s="2">
        <v>46219.470948576403</v>
      </c>
      <c r="L217" s="2">
        <v>46227.333390821797</v>
      </c>
      <c r="M217" t="s">
        <v>76</v>
      </c>
      <c r="N217" t="s">
        <v>77</v>
      </c>
      <c r="O217" t="s">
        <v>54</v>
      </c>
      <c r="P217" t="s">
        <v>78</v>
      </c>
      <c r="Q217" t="s">
        <v>161</v>
      </c>
      <c r="S217" t="s">
        <v>68</v>
      </c>
      <c r="V217" t="s">
        <v>59</v>
      </c>
      <c r="W217" t="s">
        <v>90</v>
      </c>
      <c r="X217" t="s">
        <v>61</v>
      </c>
      <c r="Y217" t="s">
        <v>47</v>
      </c>
      <c r="AA217" t="s">
        <v>1326</v>
      </c>
      <c r="AF217" t="s">
        <v>92</v>
      </c>
      <c r="AI217" t="s">
        <v>612</v>
      </c>
      <c r="AJ217" t="s">
        <v>68</v>
      </c>
      <c r="AK217" t="s">
        <v>82</v>
      </c>
      <c r="AL217" t="s">
        <v>70</v>
      </c>
      <c r="AM217">
        <v>16</v>
      </c>
      <c r="AN217">
        <v>2026</v>
      </c>
      <c r="AO217" t="s">
        <v>71</v>
      </c>
      <c r="AP217">
        <v>24</v>
      </c>
      <c r="AQ217" t="s">
        <v>71</v>
      </c>
    </row>
    <row r="218" spans="1:43" x14ac:dyDescent="0.25">
      <c r="A218">
        <v>217</v>
      </c>
      <c r="B218" t="s">
        <v>83</v>
      </c>
      <c r="C218" t="s">
        <v>1327</v>
      </c>
      <c r="D218" t="s">
        <v>1328</v>
      </c>
      <c r="E218" t="s">
        <v>1329</v>
      </c>
      <c r="F218" t="s">
        <v>47</v>
      </c>
      <c r="I218" t="s">
        <v>87</v>
      </c>
      <c r="K218" s="2">
        <v>46219.638477511602</v>
      </c>
      <c r="L218" s="2">
        <v>46227.333390821797</v>
      </c>
      <c r="M218" t="s">
        <v>76</v>
      </c>
      <c r="N218" t="s">
        <v>77</v>
      </c>
      <c r="O218" t="s">
        <v>54</v>
      </c>
      <c r="P218" t="s">
        <v>78</v>
      </c>
      <c r="Q218" t="s">
        <v>161</v>
      </c>
      <c r="S218" t="s">
        <v>68</v>
      </c>
      <c r="V218" t="s">
        <v>59</v>
      </c>
      <c r="W218" t="s">
        <v>90</v>
      </c>
      <c r="X218" t="s">
        <v>61</v>
      </c>
      <c r="Y218" t="s">
        <v>47</v>
      </c>
      <c r="AA218" t="s">
        <v>1330</v>
      </c>
      <c r="AF218" t="s">
        <v>92</v>
      </c>
      <c r="AI218" t="s">
        <v>612</v>
      </c>
      <c r="AJ218" t="s">
        <v>68</v>
      </c>
      <c r="AK218" t="s">
        <v>82</v>
      </c>
      <c r="AL218" t="s">
        <v>70</v>
      </c>
      <c r="AM218">
        <v>16</v>
      </c>
      <c r="AN218">
        <v>2026</v>
      </c>
      <c r="AO218" t="s">
        <v>71</v>
      </c>
      <c r="AP218">
        <v>24</v>
      </c>
      <c r="AQ218" t="s">
        <v>71</v>
      </c>
    </row>
    <row r="219" spans="1:43" x14ac:dyDescent="0.25">
      <c r="A219">
        <v>218</v>
      </c>
      <c r="B219" t="s">
        <v>106</v>
      </c>
      <c r="C219" t="s">
        <v>1331</v>
      </c>
      <c r="D219" t="s">
        <v>1332</v>
      </c>
      <c r="E219" t="s">
        <v>1333</v>
      </c>
      <c r="F219" t="s">
        <v>47</v>
      </c>
      <c r="I219" t="s">
        <v>112</v>
      </c>
      <c r="K219" s="2">
        <v>46219.686165937499</v>
      </c>
      <c r="L219" s="2">
        <v>46227.333390821797</v>
      </c>
      <c r="M219" t="s">
        <v>76</v>
      </c>
      <c r="N219" t="s">
        <v>77</v>
      </c>
      <c r="O219" t="s">
        <v>54</v>
      </c>
      <c r="P219" t="s">
        <v>174</v>
      </c>
      <c r="Q219" t="s">
        <v>147</v>
      </c>
      <c r="S219" t="s">
        <v>68</v>
      </c>
      <c r="V219" t="s">
        <v>59</v>
      </c>
      <c r="W219" t="s">
        <v>60</v>
      </c>
      <c r="X219" t="s">
        <v>61</v>
      </c>
      <c r="Y219" t="s">
        <v>47</v>
      </c>
      <c r="AA219" t="s">
        <v>1334</v>
      </c>
      <c r="AF219" t="s">
        <v>117</v>
      </c>
      <c r="AI219" t="s">
        <v>475</v>
      </c>
      <c r="AJ219" t="s">
        <v>68</v>
      </c>
      <c r="AK219" t="s">
        <v>82</v>
      </c>
      <c r="AL219" t="s">
        <v>70</v>
      </c>
      <c r="AM219">
        <v>16</v>
      </c>
      <c r="AN219">
        <v>2026</v>
      </c>
      <c r="AO219" t="s">
        <v>71</v>
      </c>
      <c r="AP219">
        <v>24</v>
      </c>
      <c r="AQ219" t="s">
        <v>71</v>
      </c>
    </row>
    <row r="220" spans="1:43" x14ac:dyDescent="0.25">
      <c r="A220">
        <v>219</v>
      </c>
      <c r="B220" t="s">
        <v>345</v>
      </c>
      <c r="C220" t="s">
        <v>1335</v>
      </c>
      <c r="D220" t="s">
        <v>1336</v>
      </c>
      <c r="E220" t="s">
        <v>1337</v>
      </c>
      <c r="F220" t="s">
        <v>47</v>
      </c>
      <c r="I220" t="s">
        <v>435</v>
      </c>
      <c r="K220" s="2">
        <v>46219.672631330999</v>
      </c>
      <c r="L220" s="2">
        <v>46227.333390821797</v>
      </c>
      <c r="M220" t="s">
        <v>76</v>
      </c>
      <c r="N220" t="s">
        <v>77</v>
      </c>
      <c r="O220" t="s">
        <v>54</v>
      </c>
      <c r="P220" t="s">
        <v>174</v>
      </c>
      <c r="Q220" t="s">
        <v>89</v>
      </c>
      <c r="S220" t="s">
        <v>68</v>
      </c>
      <c r="V220" t="s">
        <v>59</v>
      </c>
      <c r="W220" t="s">
        <v>90</v>
      </c>
      <c r="X220" t="s">
        <v>61</v>
      </c>
      <c r="Y220" t="s">
        <v>47</v>
      </c>
      <c r="AA220" t="s">
        <v>1338</v>
      </c>
      <c r="AF220" t="s">
        <v>1339</v>
      </c>
      <c r="AI220" t="s">
        <v>1340</v>
      </c>
      <c r="AJ220" t="s">
        <v>68</v>
      </c>
      <c r="AK220" t="s">
        <v>82</v>
      </c>
      <c r="AL220" t="s">
        <v>70</v>
      </c>
      <c r="AM220">
        <v>16</v>
      </c>
      <c r="AN220">
        <v>2026</v>
      </c>
      <c r="AO220" t="s">
        <v>71</v>
      </c>
      <c r="AP220">
        <v>24</v>
      </c>
      <c r="AQ220" t="s">
        <v>71</v>
      </c>
    </row>
    <row r="221" spans="1:43" x14ac:dyDescent="0.25">
      <c r="A221">
        <v>220</v>
      </c>
      <c r="B221" t="s">
        <v>1073</v>
      </c>
      <c r="C221" t="s">
        <v>1341</v>
      </c>
      <c r="D221" t="s">
        <v>1342</v>
      </c>
      <c r="E221" t="s">
        <v>1343</v>
      </c>
      <c r="F221" t="s">
        <v>47</v>
      </c>
      <c r="I221" t="s">
        <v>1268</v>
      </c>
      <c r="K221" s="2">
        <v>46219.642693483802</v>
      </c>
      <c r="L221" s="2">
        <v>46227.333390821797</v>
      </c>
      <c r="M221" t="s">
        <v>76</v>
      </c>
      <c r="N221" t="s">
        <v>77</v>
      </c>
      <c r="O221" t="s">
        <v>54</v>
      </c>
      <c r="P221" t="s">
        <v>55</v>
      </c>
      <c r="Q221" t="s">
        <v>147</v>
      </c>
      <c r="S221" t="s">
        <v>68</v>
      </c>
      <c r="V221" t="s">
        <v>59</v>
      </c>
      <c r="W221" t="s">
        <v>60</v>
      </c>
      <c r="X221" t="s">
        <v>61</v>
      </c>
      <c r="Y221" t="s">
        <v>47</v>
      </c>
      <c r="AA221" t="s">
        <v>1344</v>
      </c>
      <c r="AF221" t="s">
        <v>117</v>
      </c>
      <c r="AI221" t="s">
        <v>1345</v>
      </c>
      <c r="AJ221" t="s">
        <v>68</v>
      </c>
      <c r="AK221" t="s">
        <v>82</v>
      </c>
      <c r="AL221" t="s">
        <v>70</v>
      </c>
      <c r="AM221">
        <v>16</v>
      </c>
      <c r="AN221">
        <v>2026</v>
      </c>
      <c r="AO221" t="s">
        <v>71</v>
      </c>
      <c r="AP221">
        <v>24</v>
      </c>
      <c r="AQ221" t="s">
        <v>71</v>
      </c>
    </row>
    <row r="222" spans="1:43" x14ac:dyDescent="0.25">
      <c r="A222">
        <v>221</v>
      </c>
      <c r="B222" t="s">
        <v>1073</v>
      </c>
      <c r="C222" t="s">
        <v>1346</v>
      </c>
      <c r="D222" t="s">
        <v>1347</v>
      </c>
      <c r="E222" t="s">
        <v>1348</v>
      </c>
      <c r="F222" t="s">
        <v>47</v>
      </c>
      <c r="G222" t="s">
        <v>1349</v>
      </c>
      <c r="H222" t="s">
        <v>1350</v>
      </c>
      <c r="I222" t="s">
        <v>1268</v>
      </c>
      <c r="J222" t="s">
        <v>51</v>
      </c>
      <c r="K222" s="2">
        <v>46219.777838923597</v>
      </c>
      <c r="L222" s="2">
        <v>46230.863926238402</v>
      </c>
      <c r="M222" t="s">
        <v>52</v>
      </c>
      <c r="N222" t="s">
        <v>53</v>
      </c>
      <c r="O222" t="s">
        <v>54</v>
      </c>
      <c r="P222" t="s">
        <v>88</v>
      </c>
      <c r="Q222" t="s">
        <v>126</v>
      </c>
      <c r="R222" t="s">
        <v>413</v>
      </c>
      <c r="S222" t="s">
        <v>58</v>
      </c>
      <c r="V222" t="s">
        <v>59</v>
      </c>
      <c r="W222" t="s">
        <v>60</v>
      </c>
      <c r="X222" t="s">
        <v>61</v>
      </c>
      <c r="Y222" t="s">
        <v>47</v>
      </c>
      <c r="Z222" t="s">
        <v>114</v>
      </c>
      <c r="AA222" t="s">
        <v>1351</v>
      </c>
      <c r="AB222">
        <v>26935500</v>
      </c>
      <c r="AC222" t="s">
        <v>58</v>
      </c>
      <c r="AD222" s="2">
        <v>46227</v>
      </c>
      <c r="AE222" t="s">
        <v>1352</v>
      </c>
      <c r="AF222" t="s">
        <v>65</v>
      </c>
      <c r="AG222" t="s">
        <v>66</v>
      </c>
      <c r="AI222" t="s">
        <v>1353</v>
      </c>
      <c r="AJ222" t="s">
        <v>68</v>
      </c>
      <c r="AK222" t="s">
        <v>69</v>
      </c>
      <c r="AL222" t="s">
        <v>70</v>
      </c>
      <c r="AM222">
        <v>16</v>
      </c>
      <c r="AN222">
        <v>2026</v>
      </c>
      <c r="AO222" t="s">
        <v>71</v>
      </c>
      <c r="AP222">
        <v>27</v>
      </c>
      <c r="AQ222" t="s">
        <v>71</v>
      </c>
    </row>
    <row r="223" spans="1:43" x14ac:dyDescent="0.25">
      <c r="A223">
        <v>222</v>
      </c>
      <c r="B223" t="s">
        <v>946</v>
      </c>
      <c r="C223" t="s">
        <v>1354</v>
      </c>
      <c r="D223" t="s">
        <v>1355</v>
      </c>
      <c r="E223" t="s">
        <v>1356</v>
      </c>
      <c r="F223" t="s">
        <v>47</v>
      </c>
      <c r="I223" t="s">
        <v>952</v>
      </c>
      <c r="K223" s="2">
        <v>46219.491051504599</v>
      </c>
      <c r="L223" s="2">
        <v>46227.333390821797</v>
      </c>
      <c r="M223" t="s">
        <v>76</v>
      </c>
      <c r="N223" t="s">
        <v>77</v>
      </c>
      <c r="O223" t="s">
        <v>54</v>
      </c>
      <c r="P223" t="s">
        <v>160</v>
      </c>
      <c r="Q223" t="s">
        <v>56</v>
      </c>
      <c r="S223" t="s">
        <v>68</v>
      </c>
      <c r="V223" t="s">
        <v>59</v>
      </c>
      <c r="W223" t="s">
        <v>90</v>
      </c>
      <c r="X223" t="s">
        <v>61</v>
      </c>
      <c r="Y223" t="s">
        <v>47</v>
      </c>
      <c r="AA223" t="s">
        <v>1357</v>
      </c>
      <c r="AF223" t="s">
        <v>1358</v>
      </c>
      <c r="AI223" t="s">
        <v>1359</v>
      </c>
      <c r="AJ223" t="s">
        <v>68</v>
      </c>
      <c r="AK223" t="s">
        <v>82</v>
      </c>
      <c r="AL223" t="s">
        <v>70</v>
      </c>
      <c r="AM223">
        <v>16</v>
      </c>
      <c r="AN223">
        <v>2026</v>
      </c>
      <c r="AO223" t="s">
        <v>71</v>
      </c>
      <c r="AP223">
        <v>24</v>
      </c>
      <c r="AQ223" t="s">
        <v>71</v>
      </c>
    </row>
    <row r="224" spans="1:43" x14ac:dyDescent="0.25">
      <c r="A224">
        <v>223</v>
      </c>
      <c r="B224" t="s">
        <v>229</v>
      </c>
      <c r="C224" t="s">
        <v>1360</v>
      </c>
      <c r="D224" t="s">
        <v>1361</v>
      </c>
      <c r="E224" t="s">
        <v>1362</v>
      </c>
      <c r="F224" t="s">
        <v>47</v>
      </c>
      <c r="I224" t="s">
        <v>233</v>
      </c>
      <c r="K224" s="2">
        <v>46219.527674074103</v>
      </c>
      <c r="L224" s="2">
        <v>46227.333390821797</v>
      </c>
      <c r="M224" t="s">
        <v>76</v>
      </c>
      <c r="N224" t="s">
        <v>77</v>
      </c>
      <c r="O224" t="s">
        <v>54</v>
      </c>
      <c r="P224" t="s">
        <v>160</v>
      </c>
      <c r="Q224" t="s">
        <v>113</v>
      </c>
      <c r="S224" t="s">
        <v>68</v>
      </c>
      <c r="V224" t="s">
        <v>59</v>
      </c>
      <c r="W224" t="s">
        <v>90</v>
      </c>
      <c r="X224" t="s">
        <v>61</v>
      </c>
      <c r="Y224" t="s">
        <v>47</v>
      </c>
      <c r="AA224" t="s">
        <v>1363</v>
      </c>
      <c r="AF224" t="s">
        <v>245</v>
      </c>
      <c r="AI224" t="s">
        <v>1097</v>
      </c>
      <c r="AJ224" t="s">
        <v>68</v>
      </c>
      <c r="AK224" t="s">
        <v>82</v>
      </c>
      <c r="AL224" t="s">
        <v>70</v>
      </c>
      <c r="AM224">
        <v>16</v>
      </c>
      <c r="AN224">
        <v>2026</v>
      </c>
      <c r="AO224" t="s">
        <v>71</v>
      </c>
      <c r="AP224">
        <v>24</v>
      </c>
      <c r="AQ224" t="s">
        <v>71</v>
      </c>
    </row>
    <row r="225" spans="1:43" x14ac:dyDescent="0.25">
      <c r="A225">
        <v>224</v>
      </c>
      <c r="B225" t="s">
        <v>249</v>
      </c>
      <c r="C225" t="s">
        <v>1364</v>
      </c>
      <c r="D225" t="s">
        <v>1365</v>
      </c>
      <c r="E225" t="s">
        <v>1366</v>
      </c>
      <c r="F225" t="s">
        <v>47</v>
      </c>
      <c r="I225" t="s">
        <v>254</v>
      </c>
      <c r="K225" s="2">
        <v>46219.495927280099</v>
      </c>
      <c r="L225" s="2">
        <v>46219.514012233798</v>
      </c>
      <c r="M225" t="s">
        <v>76</v>
      </c>
      <c r="N225" t="s">
        <v>77</v>
      </c>
      <c r="O225" t="s">
        <v>54</v>
      </c>
      <c r="P225" t="s">
        <v>55</v>
      </c>
      <c r="Q225" t="s">
        <v>161</v>
      </c>
      <c r="R225" t="s">
        <v>57</v>
      </c>
      <c r="S225" t="s">
        <v>68</v>
      </c>
      <c r="V225" t="s">
        <v>59</v>
      </c>
      <c r="W225" t="s">
        <v>90</v>
      </c>
      <c r="X225" t="s">
        <v>61</v>
      </c>
      <c r="Y225" t="s">
        <v>47</v>
      </c>
      <c r="AA225" t="s">
        <v>1367</v>
      </c>
      <c r="AF225" t="s">
        <v>92</v>
      </c>
      <c r="AI225" t="s">
        <v>551</v>
      </c>
      <c r="AJ225" t="s">
        <v>68</v>
      </c>
      <c r="AK225" t="s">
        <v>82</v>
      </c>
      <c r="AL225" t="s">
        <v>70</v>
      </c>
      <c r="AM225">
        <v>16</v>
      </c>
      <c r="AN225">
        <v>2026</v>
      </c>
      <c r="AO225" t="s">
        <v>71</v>
      </c>
      <c r="AP225">
        <v>16</v>
      </c>
      <c r="AQ225" t="s">
        <v>71</v>
      </c>
    </row>
    <row r="226" spans="1:43" x14ac:dyDescent="0.25">
      <c r="A226">
        <v>225</v>
      </c>
      <c r="B226" t="s">
        <v>263</v>
      </c>
      <c r="C226" t="s">
        <v>1368</v>
      </c>
      <c r="D226" t="s">
        <v>1369</v>
      </c>
      <c r="E226" t="s">
        <v>1370</v>
      </c>
      <c r="F226" t="s">
        <v>75</v>
      </c>
      <c r="I226" t="s">
        <v>267</v>
      </c>
      <c r="J226" t="s">
        <v>51</v>
      </c>
      <c r="K226" s="2">
        <v>46219.670587928202</v>
      </c>
      <c r="L226" s="2">
        <v>46220.422581597202</v>
      </c>
      <c r="M226" t="s">
        <v>76</v>
      </c>
      <c r="N226" t="s">
        <v>77</v>
      </c>
      <c r="O226" t="s">
        <v>54</v>
      </c>
      <c r="P226" t="s">
        <v>160</v>
      </c>
      <c r="Q226" t="s">
        <v>621</v>
      </c>
      <c r="R226" t="s">
        <v>1106</v>
      </c>
      <c r="S226" t="s">
        <v>68</v>
      </c>
      <c r="V226" t="s">
        <v>59</v>
      </c>
      <c r="W226" t="s">
        <v>90</v>
      </c>
      <c r="X226" t="s">
        <v>61</v>
      </c>
      <c r="Y226" t="s">
        <v>75</v>
      </c>
      <c r="AA226" t="s">
        <v>1371</v>
      </c>
      <c r="AF226" t="s">
        <v>92</v>
      </c>
      <c r="AG226" t="s">
        <v>246</v>
      </c>
      <c r="AK226" t="s">
        <v>82</v>
      </c>
      <c r="AL226" t="s">
        <v>70</v>
      </c>
      <c r="AM226">
        <v>16</v>
      </c>
      <c r="AN226">
        <v>2026</v>
      </c>
      <c r="AO226" t="s">
        <v>71</v>
      </c>
      <c r="AP226">
        <v>17</v>
      </c>
      <c r="AQ226" t="s">
        <v>71</v>
      </c>
    </row>
    <row r="227" spans="1:43" x14ac:dyDescent="0.25">
      <c r="A227">
        <v>226</v>
      </c>
      <c r="B227" t="s">
        <v>278</v>
      </c>
      <c r="C227" t="s">
        <v>1372</v>
      </c>
      <c r="D227" t="s">
        <v>1373</v>
      </c>
      <c r="E227" t="s">
        <v>1374</v>
      </c>
      <c r="F227" t="s">
        <v>47</v>
      </c>
      <c r="G227" t="s">
        <v>1375</v>
      </c>
      <c r="H227" t="s">
        <v>1376</v>
      </c>
      <c r="I227" t="s">
        <v>284</v>
      </c>
      <c r="J227" t="s">
        <v>51</v>
      </c>
      <c r="K227" s="2">
        <v>46219.408701539403</v>
      </c>
      <c r="L227" s="2">
        <v>46220.573412731501</v>
      </c>
      <c r="M227" t="s">
        <v>52</v>
      </c>
      <c r="N227" t="s">
        <v>53</v>
      </c>
      <c r="O227" t="s">
        <v>54</v>
      </c>
      <c r="P227" t="s">
        <v>55</v>
      </c>
      <c r="Q227" t="s">
        <v>89</v>
      </c>
      <c r="R227" t="s">
        <v>286</v>
      </c>
      <c r="S227" t="s">
        <v>481</v>
      </c>
      <c r="V227" t="s">
        <v>59</v>
      </c>
      <c r="W227" t="s">
        <v>90</v>
      </c>
      <c r="X227" t="s">
        <v>61</v>
      </c>
      <c r="Y227" t="s">
        <v>47</v>
      </c>
      <c r="Z227" t="s">
        <v>114</v>
      </c>
      <c r="AA227" t="s">
        <v>1377</v>
      </c>
      <c r="AB227">
        <v>76291000</v>
      </c>
      <c r="AC227" t="s">
        <v>481</v>
      </c>
      <c r="AD227" s="2">
        <v>46219</v>
      </c>
      <c r="AE227" t="s">
        <v>1378</v>
      </c>
      <c r="AF227" t="s">
        <v>1379</v>
      </c>
      <c r="AG227" t="s">
        <v>66</v>
      </c>
      <c r="AI227" t="s">
        <v>1215</v>
      </c>
      <c r="AJ227" t="s">
        <v>68</v>
      </c>
      <c r="AK227" t="s">
        <v>69</v>
      </c>
      <c r="AL227" t="s">
        <v>70</v>
      </c>
      <c r="AM227">
        <v>16</v>
      </c>
      <c r="AN227">
        <v>2026</v>
      </c>
      <c r="AO227" t="s">
        <v>71</v>
      </c>
      <c r="AP227">
        <v>17</v>
      </c>
      <c r="AQ227" t="s">
        <v>71</v>
      </c>
    </row>
    <row r="228" spans="1:43" x14ac:dyDescent="0.25">
      <c r="A228">
        <v>227</v>
      </c>
      <c r="B228" t="s">
        <v>43</v>
      </c>
      <c r="C228" t="s">
        <v>1380</v>
      </c>
      <c r="D228" t="s">
        <v>1381</v>
      </c>
      <c r="E228" t="s">
        <v>1382</v>
      </c>
      <c r="F228" t="s">
        <v>47</v>
      </c>
      <c r="I228" t="s">
        <v>50</v>
      </c>
      <c r="J228" t="s">
        <v>51</v>
      </c>
      <c r="K228" s="2">
        <v>46220.588547372703</v>
      </c>
      <c r="L228" s="2">
        <v>46220.604245601899</v>
      </c>
      <c r="M228" t="s">
        <v>76</v>
      </c>
      <c r="N228" t="s">
        <v>77</v>
      </c>
      <c r="O228" t="s">
        <v>54</v>
      </c>
      <c r="P228" t="s">
        <v>88</v>
      </c>
      <c r="Q228" t="s">
        <v>161</v>
      </c>
      <c r="R228" t="s">
        <v>57</v>
      </c>
      <c r="S228" t="s">
        <v>68</v>
      </c>
      <c r="V228" t="s">
        <v>59</v>
      </c>
      <c r="W228" t="s">
        <v>60</v>
      </c>
      <c r="X228" t="s">
        <v>61</v>
      </c>
      <c r="Y228" t="s">
        <v>47</v>
      </c>
      <c r="AA228" t="s">
        <v>1383</v>
      </c>
      <c r="AF228" t="s">
        <v>1384</v>
      </c>
      <c r="AG228" t="s">
        <v>246</v>
      </c>
      <c r="AI228" t="s">
        <v>686</v>
      </c>
      <c r="AJ228" t="s">
        <v>68</v>
      </c>
      <c r="AK228" t="s">
        <v>82</v>
      </c>
      <c r="AL228" t="s">
        <v>70</v>
      </c>
      <c r="AM228">
        <v>17</v>
      </c>
      <c r="AN228">
        <v>2026</v>
      </c>
      <c r="AO228" t="s">
        <v>71</v>
      </c>
      <c r="AP228">
        <v>17</v>
      </c>
      <c r="AQ228" t="s">
        <v>71</v>
      </c>
    </row>
    <row r="229" spans="1:43" x14ac:dyDescent="0.25">
      <c r="A229">
        <v>228</v>
      </c>
      <c r="B229" t="s">
        <v>43</v>
      </c>
      <c r="C229" t="s">
        <v>1385</v>
      </c>
      <c r="D229" t="s">
        <v>1386</v>
      </c>
      <c r="E229" t="s">
        <v>1387</v>
      </c>
      <c r="F229" t="s">
        <v>47</v>
      </c>
      <c r="I229" t="s">
        <v>50</v>
      </c>
      <c r="K229" s="2">
        <v>46220.595116354198</v>
      </c>
      <c r="L229" s="2">
        <v>46228.333392511602</v>
      </c>
      <c r="M229" t="s">
        <v>76</v>
      </c>
      <c r="N229" t="s">
        <v>77</v>
      </c>
      <c r="O229" t="s">
        <v>54</v>
      </c>
      <c r="P229" t="s">
        <v>1388</v>
      </c>
      <c r="Q229" t="s">
        <v>175</v>
      </c>
      <c r="S229" t="s">
        <v>68</v>
      </c>
      <c r="V229" t="s">
        <v>59</v>
      </c>
      <c r="W229" t="s">
        <v>60</v>
      </c>
      <c r="X229" t="s">
        <v>61</v>
      </c>
      <c r="Y229" t="s">
        <v>47</v>
      </c>
      <c r="AA229" t="s">
        <v>1389</v>
      </c>
      <c r="AF229" t="s">
        <v>1390</v>
      </c>
      <c r="AI229" t="s">
        <v>695</v>
      </c>
      <c r="AJ229" t="s">
        <v>68</v>
      </c>
      <c r="AK229" t="s">
        <v>82</v>
      </c>
      <c r="AL229" t="s">
        <v>70</v>
      </c>
      <c r="AM229">
        <v>17</v>
      </c>
      <c r="AN229">
        <v>2026</v>
      </c>
      <c r="AO229" t="s">
        <v>71</v>
      </c>
      <c r="AP229">
        <v>25</v>
      </c>
      <c r="AQ229" t="s">
        <v>71</v>
      </c>
    </row>
    <row r="230" spans="1:43" x14ac:dyDescent="0.25">
      <c r="A230">
        <v>229</v>
      </c>
      <c r="B230" t="s">
        <v>43</v>
      </c>
      <c r="C230" t="s">
        <v>1391</v>
      </c>
      <c r="D230" t="s">
        <v>1392</v>
      </c>
      <c r="E230" t="s">
        <v>1393</v>
      </c>
      <c r="F230" t="s">
        <v>47</v>
      </c>
      <c r="I230" t="s">
        <v>50</v>
      </c>
      <c r="K230" s="2">
        <v>46220.599752928203</v>
      </c>
      <c r="L230" s="2">
        <v>46228.333392511602</v>
      </c>
      <c r="M230" t="s">
        <v>76</v>
      </c>
      <c r="N230" t="s">
        <v>77</v>
      </c>
      <c r="O230" t="s">
        <v>54</v>
      </c>
      <c r="P230" t="s">
        <v>174</v>
      </c>
      <c r="Q230" t="s">
        <v>113</v>
      </c>
      <c r="S230" t="s">
        <v>68</v>
      </c>
      <c r="V230" t="s">
        <v>59</v>
      </c>
      <c r="W230" t="s">
        <v>60</v>
      </c>
      <c r="X230" t="s">
        <v>61</v>
      </c>
      <c r="Y230" t="s">
        <v>47</v>
      </c>
      <c r="AA230" t="s">
        <v>1394</v>
      </c>
      <c r="AF230" t="s">
        <v>1395</v>
      </c>
      <c r="AI230" t="s">
        <v>695</v>
      </c>
      <c r="AJ230" t="s">
        <v>68</v>
      </c>
      <c r="AK230" t="s">
        <v>82</v>
      </c>
      <c r="AL230" t="s">
        <v>70</v>
      </c>
      <c r="AM230">
        <v>17</v>
      </c>
      <c r="AN230">
        <v>2026</v>
      </c>
      <c r="AO230" t="s">
        <v>71</v>
      </c>
      <c r="AP230">
        <v>25</v>
      </c>
      <c r="AQ230" t="s">
        <v>71</v>
      </c>
    </row>
    <row r="231" spans="1:43" x14ac:dyDescent="0.25">
      <c r="A231">
        <v>230</v>
      </c>
      <c r="B231" t="s">
        <v>1122</v>
      </c>
      <c r="C231" t="s">
        <v>1396</v>
      </c>
      <c r="D231" t="s">
        <v>1397</v>
      </c>
      <c r="E231" t="s">
        <v>1398</v>
      </c>
      <c r="F231" t="s">
        <v>274</v>
      </c>
      <c r="G231" t="s">
        <v>1399</v>
      </c>
      <c r="H231" t="s">
        <v>1400</v>
      </c>
      <c r="I231" t="s">
        <v>1126</v>
      </c>
      <c r="J231" t="s">
        <v>51</v>
      </c>
      <c r="K231" s="2">
        <v>46220.452597222204</v>
      </c>
      <c r="L231" s="2">
        <v>46228.5720250347</v>
      </c>
      <c r="M231" t="s">
        <v>52</v>
      </c>
      <c r="N231" t="s">
        <v>53</v>
      </c>
      <c r="O231" t="s">
        <v>54</v>
      </c>
      <c r="P231" t="s">
        <v>160</v>
      </c>
      <c r="Q231" t="s">
        <v>218</v>
      </c>
      <c r="R231" t="s">
        <v>57</v>
      </c>
      <c r="S231" t="s">
        <v>58</v>
      </c>
      <c r="V231" t="s">
        <v>59</v>
      </c>
      <c r="W231" t="s">
        <v>90</v>
      </c>
      <c r="X231" t="s">
        <v>61</v>
      </c>
      <c r="Y231" t="s">
        <v>274</v>
      </c>
      <c r="Z231" t="s">
        <v>372</v>
      </c>
      <c r="AA231" t="s">
        <v>1401</v>
      </c>
      <c r="AB231">
        <v>191071360</v>
      </c>
      <c r="AC231" t="s">
        <v>58</v>
      </c>
      <c r="AD231" s="2">
        <v>46226</v>
      </c>
      <c r="AE231" t="s">
        <v>1402</v>
      </c>
      <c r="AF231" t="s">
        <v>1403</v>
      </c>
      <c r="AG231" t="s">
        <v>66</v>
      </c>
      <c r="AK231" t="s">
        <v>69</v>
      </c>
      <c r="AL231" t="s">
        <v>277</v>
      </c>
      <c r="AM231">
        <v>17</v>
      </c>
      <c r="AN231">
        <v>2026</v>
      </c>
      <c r="AO231" t="s">
        <v>71</v>
      </c>
      <c r="AP231">
        <v>25</v>
      </c>
      <c r="AQ231" t="s">
        <v>71</v>
      </c>
    </row>
    <row r="232" spans="1:43" x14ac:dyDescent="0.25">
      <c r="A232">
        <v>231</v>
      </c>
      <c r="B232" t="s">
        <v>83</v>
      </c>
      <c r="C232" t="s">
        <v>1404</v>
      </c>
      <c r="D232" t="s">
        <v>1405</v>
      </c>
      <c r="E232" t="s">
        <v>1406</v>
      </c>
      <c r="F232" t="s">
        <v>47</v>
      </c>
      <c r="I232" t="s">
        <v>87</v>
      </c>
      <c r="K232" s="2">
        <v>46220.676864548601</v>
      </c>
      <c r="L232" s="2">
        <v>46228.333392511602</v>
      </c>
      <c r="M232" t="s">
        <v>76</v>
      </c>
      <c r="N232" t="s">
        <v>77</v>
      </c>
      <c r="O232" t="s">
        <v>54</v>
      </c>
      <c r="P232" t="s">
        <v>88</v>
      </c>
      <c r="Q232" t="s">
        <v>89</v>
      </c>
      <c r="S232" t="s">
        <v>68</v>
      </c>
      <c r="V232" t="s">
        <v>59</v>
      </c>
      <c r="W232" t="s">
        <v>90</v>
      </c>
      <c r="X232" t="s">
        <v>61</v>
      </c>
      <c r="Y232" t="s">
        <v>47</v>
      </c>
      <c r="AA232" t="s">
        <v>1407</v>
      </c>
      <c r="AF232" t="s">
        <v>92</v>
      </c>
      <c r="AI232" t="s">
        <v>910</v>
      </c>
      <c r="AJ232" t="s">
        <v>68</v>
      </c>
      <c r="AK232" t="s">
        <v>82</v>
      </c>
      <c r="AL232" t="s">
        <v>70</v>
      </c>
      <c r="AM232">
        <v>17</v>
      </c>
      <c r="AN232">
        <v>2026</v>
      </c>
      <c r="AO232" t="s">
        <v>71</v>
      </c>
      <c r="AP232">
        <v>25</v>
      </c>
      <c r="AQ232" t="s">
        <v>71</v>
      </c>
    </row>
    <row r="233" spans="1:43" x14ac:dyDescent="0.25">
      <c r="A233">
        <v>232</v>
      </c>
      <c r="B233" t="s">
        <v>345</v>
      </c>
      <c r="C233" t="s">
        <v>1408</v>
      </c>
      <c r="D233" t="s">
        <v>1409</v>
      </c>
      <c r="E233" t="s">
        <v>1410</v>
      </c>
      <c r="F233" t="s">
        <v>47</v>
      </c>
      <c r="H233" t="s">
        <v>1411</v>
      </c>
      <c r="I233" t="s">
        <v>351</v>
      </c>
      <c r="J233" t="s">
        <v>51</v>
      </c>
      <c r="K233" s="2">
        <v>46220.641760335602</v>
      </c>
      <c r="L233" s="2">
        <v>46228.910550080996</v>
      </c>
      <c r="M233" t="s">
        <v>241</v>
      </c>
      <c r="N233" t="s">
        <v>242</v>
      </c>
      <c r="O233" t="s">
        <v>54</v>
      </c>
      <c r="P233" t="s">
        <v>55</v>
      </c>
      <c r="Q233" t="s">
        <v>126</v>
      </c>
      <c r="R233" t="s">
        <v>632</v>
      </c>
      <c r="S233" t="s">
        <v>58</v>
      </c>
      <c r="V233" t="s">
        <v>59</v>
      </c>
      <c r="W233" t="s">
        <v>90</v>
      </c>
      <c r="X233" t="s">
        <v>61</v>
      </c>
      <c r="Y233" t="s">
        <v>47</v>
      </c>
      <c r="Z233" t="s">
        <v>114</v>
      </c>
      <c r="AA233" t="s">
        <v>1412</v>
      </c>
      <c r="AC233" t="s">
        <v>58</v>
      </c>
      <c r="AD233" s="2">
        <v>46226</v>
      </c>
      <c r="AE233" t="s">
        <v>65</v>
      </c>
      <c r="AF233" t="s">
        <v>65</v>
      </c>
      <c r="AG233" t="s">
        <v>246</v>
      </c>
      <c r="AI233" t="s">
        <v>1413</v>
      </c>
      <c r="AJ233" t="s">
        <v>68</v>
      </c>
      <c r="AK233" t="s">
        <v>248</v>
      </c>
      <c r="AL233" t="s">
        <v>70</v>
      </c>
      <c r="AM233">
        <v>17</v>
      </c>
      <c r="AN233">
        <v>2026</v>
      </c>
      <c r="AO233" t="s">
        <v>71</v>
      </c>
      <c r="AP233">
        <v>25</v>
      </c>
      <c r="AQ233" t="s">
        <v>71</v>
      </c>
    </row>
    <row r="234" spans="1:43" x14ac:dyDescent="0.25">
      <c r="A234">
        <v>233</v>
      </c>
      <c r="B234" t="s">
        <v>1073</v>
      </c>
      <c r="C234" t="s">
        <v>1414</v>
      </c>
      <c r="D234" t="s">
        <v>1415</v>
      </c>
      <c r="E234" t="s">
        <v>1416</v>
      </c>
      <c r="F234" t="s">
        <v>47</v>
      </c>
      <c r="G234" t="s">
        <v>1417</v>
      </c>
      <c r="H234" t="s">
        <v>1418</v>
      </c>
      <c r="I234" t="s">
        <v>1268</v>
      </c>
      <c r="J234" t="s">
        <v>295</v>
      </c>
      <c r="K234" s="2">
        <v>46220.662342048599</v>
      </c>
      <c r="L234" s="2">
        <v>46224.584322835603</v>
      </c>
      <c r="M234" t="s">
        <v>52</v>
      </c>
      <c r="N234" t="s">
        <v>53</v>
      </c>
      <c r="O234" t="s">
        <v>54</v>
      </c>
      <c r="P234" t="s">
        <v>598</v>
      </c>
      <c r="Q234" t="s">
        <v>571</v>
      </c>
      <c r="R234" t="s">
        <v>57</v>
      </c>
      <c r="S234" t="s">
        <v>58</v>
      </c>
      <c r="V234" t="s">
        <v>59</v>
      </c>
      <c r="W234" t="s">
        <v>60</v>
      </c>
      <c r="X234" t="s">
        <v>61</v>
      </c>
      <c r="Y234" t="s">
        <v>47</v>
      </c>
      <c r="Z234" t="s">
        <v>255</v>
      </c>
      <c r="AA234" t="s">
        <v>1419</v>
      </c>
      <c r="AB234">
        <v>110784000</v>
      </c>
      <c r="AC234" t="s">
        <v>58</v>
      </c>
      <c r="AD234" s="2">
        <v>46223</v>
      </c>
      <c r="AE234" t="s">
        <v>1420</v>
      </c>
      <c r="AF234" t="s">
        <v>117</v>
      </c>
      <c r="AG234" t="s">
        <v>66</v>
      </c>
      <c r="AI234" t="s">
        <v>1421</v>
      </c>
      <c r="AJ234" t="s">
        <v>68</v>
      </c>
      <c r="AK234" t="s">
        <v>69</v>
      </c>
      <c r="AL234" t="s">
        <v>70</v>
      </c>
      <c r="AM234">
        <v>17</v>
      </c>
      <c r="AN234">
        <v>2026</v>
      </c>
      <c r="AO234" t="s">
        <v>71</v>
      </c>
      <c r="AP234">
        <v>21</v>
      </c>
      <c r="AQ234" t="s">
        <v>71</v>
      </c>
    </row>
    <row r="235" spans="1:43" x14ac:dyDescent="0.25">
      <c r="A235">
        <v>234</v>
      </c>
      <c r="B235" t="s">
        <v>129</v>
      </c>
      <c r="C235" t="s">
        <v>1422</v>
      </c>
      <c r="D235" t="s">
        <v>1423</v>
      </c>
      <c r="E235" t="s">
        <v>1424</v>
      </c>
      <c r="F235" t="s">
        <v>47</v>
      </c>
      <c r="I235" t="s">
        <v>133</v>
      </c>
      <c r="K235" s="2">
        <v>46220.6159297454</v>
      </c>
      <c r="L235" s="2">
        <v>46228.333392511602</v>
      </c>
      <c r="M235" t="s">
        <v>76</v>
      </c>
      <c r="N235" t="s">
        <v>77</v>
      </c>
      <c r="O235" t="s">
        <v>54</v>
      </c>
      <c r="P235" t="s">
        <v>174</v>
      </c>
      <c r="Q235" t="s">
        <v>218</v>
      </c>
      <c r="S235" t="s">
        <v>68</v>
      </c>
      <c r="V235" t="s">
        <v>59</v>
      </c>
      <c r="W235" t="s">
        <v>60</v>
      </c>
      <c r="X235" t="s">
        <v>61</v>
      </c>
      <c r="Y235" t="s">
        <v>47</v>
      </c>
      <c r="AA235" t="s">
        <v>1425</v>
      </c>
      <c r="AF235" t="s">
        <v>117</v>
      </c>
      <c r="AI235" t="s">
        <v>1181</v>
      </c>
      <c r="AJ235" t="s">
        <v>68</v>
      </c>
      <c r="AK235" t="s">
        <v>82</v>
      </c>
      <c r="AL235" t="s">
        <v>70</v>
      </c>
      <c r="AM235">
        <v>17</v>
      </c>
      <c r="AN235">
        <v>2026</v>
      </c>
      <c r="AO235" t="s">
        <v>71</v>
      </c>
      <c r="AP235">
        <v>25</v>
      </c>
      <c r="AQ235" t="s">
        <v>71</v>
      </c>
    </row>
    <row r="236" spans="1:43" x14ac:dyDescent="0.25">
      <c r="A236">
        <v>235</v>
      </c>
      <c r="B236" t="s">
        <v>129</v>
      </c>
      <c r="C236" t="s">
        <v>1426</v>
      </c>
      <c r="D236" t="s">
        <v>1427</v>
      </c>
      <c r="E236" t="s">
        <v>1428</v>
      </c>
      <c r="F236" t="s">
        <v>47</v>
      </c>
      <c r="I236" t="s">
        <v>133</v>
      </c>
      <c r="K236" s="2">
        <v>46220.670994641201</v>
      </c>
      <c r="L236" s="2">
        <v>46228.333392511602</v>
      </c>
      <c r="M236" t="s">
        <v>76</v>
      </c>
      <c r="N236" t="s">
        <v>77</v>
      </c>
      <c r="O236" t="s">
        <v>54</v>
      </c>
      <c r="P236" t="s">
        <v>88</v>
      </c>
      <c r="Q236" t="s">
        <v>56</v>
      </c>
      <c r="S236" t="s">
        <v>68</v>
      </c>
      <c r="V236" t="s">
        <v>59</v>
      </c>
      <c r="W236" t="s">
        <v>60</v>
      </c>
      <c r="X236" t="s">
        <v>61</v>
      </c>
      <c r="Y236" t="s">
        <v>47</v>
      </c>
      <c r="AA236" t="s">
        <v>1429</v>
      </c>
      <c r="AF236" t="s">
        <v>117</v>
      </c>
      <c r="AI236" t="s">
        <v>1181</v>
      </c>
      <c r="AJ236" t="s">
        <v>68</v>
      </c>
      <c r="AK236" t="s">
        <v>82</v>
      </c>
      <c r="AL236" t="s">
        <v>70</v>
      </c>
      <c r="AM236">
        <v>17</v>
      </c>
      <c r="AN236">
        <v>2026</v>
      </c>
      <c r="AO236" t="s">
        <v>71</v>
      </c>
      <c r="AP236">
        <v>25</v>
      </c>
      <c r="AQ236" t="s">
        <v>71</v>
      </c>
    </row>
    <row r="237" spans="1:43" x14ac:dyDescent="0.25">
      <c r="A237">
        <v>236</v>
      </c>
      <c r="B237" t="s">
        <v>229</v>
      </c>
      <c r="C237" t="s">
        <v>1430</v>
      </c>
      <c r="D237" t="s">
        <v>1431</v>
      </c>
      <c r="E237" t="s">
        <v>1432</v>
      </c>
      <c r="F237" t="s">
        <v>47</v>
      </c>
      <c r="I237" t="s">
        <v>233</v>
      </c>
      <c r="K237" s="2">
        <v>46220.654387037001</v>
      </c>
      <c r="L237" s="2">
        <v>46220.666741122703</v>
      </c>
      <c r="M237" t="s">
        <v>76</v>
      </c>
      <c r="N237" t="s">
        <v>77</v>
      </c>
      <c r="O237" t="s">
        <v>54</v>
      </c>
      <c r="P237" t="s">
        <v>55</v>
      </c>
      <c r="Q237" t="s">
        <v>218</v>
      </c>
      <c r="R237" t="s">
        <v>57</v>
      </c>
      <c r="S237" t="s">
        <v>68</v>
      </c>
      <c r="V237" t="s">
        <v>59</v>
      </c>
      <c r="W237" t="s">
        <v>90</v>
      </c>
      <c r="X237" t="s">
        <v>61</v>
      </c>
      <c r="Y237" t="s">
        <v>47</v>
      </c>
      <c r="AA237" t="s">
        <v>1435</v>
      </c>
      <c r="AF237" t="s">
        <v>245</v>
      </c>
      <c r="AI237" t="s">
        <v>754</v>
      </c>
      <c r="AJ237" t="s">
        <v>68</v>
      </c>
      <c r="AK237" t="s">
        <v>82</v>
      </c>
      <c r="AL237" t="s">
        <v>70</v>
      </c>
      <c r="AM237">
        <v>17</v>
      </c>
      <c r="AN237">
        <v>2026</v>
      </c>
      <c r="AO237" t="s">
        <v>71</v>
      </c>
      <c r="AP237">
        <v>17</v>
      </c>
      <c r="AQ237" t="s">
        <v>71</v>
      </c>
    </row>
    <row r="238" spans="1:43" x14ac:dyDescent="0.25">
      <c r="A238">
        <v>237</v>
      </c>
      <c r="B238" t="s">
        <v>249</v>
      </c>
      <c r="C238" t="s">
        <v>1436</v>
      </c>
      <c r="D238" t="s">
        <v>1437</v>
      </c>
      <c r="E238" t="s">
        <v>1438</v>
      </c>
      <c r="F238" t="s">
        <v>47</v>
      </c>
      <c r="I238" t="s">
        <v>254</v>
      </c>
      <c r="K238" s="2">
        <v>46220.577207986098</v>
      </c>
      <c r="L238" s="2">
        <v>46220.583425115699</v>
      </c>
      <c r="M238" t="s">
        <v>76</v>
      </c>
      <c r="N238" t="s">
        <v>77</v>
      </c>
      <c r="O238" t="s">
        <v>54</v>
      </c>
      <c r="P238" t="s">
        <v>55</v>
      </c>
      <c r="Q238" t="s">
        <v>161</v>
      </c>
      <c r="R238" t="s">
        <v>57</v>
      </c>
      <c r="S238" t="s">
        <v>68</v>
      </c>
      <c r="V238" t="s">
        <v>59</v>
      </c>
      <c r="W238" t="s">
        <v>90</v>
      </c>
      <c r="X238" t="s">
        <v>61</v>
      </c>
      <c r="Y238" t="s">
        <v>47</v>
      </c>
      <c r="AA238" t="s">
        <v>1439</v>
      </c>
      <c r="AF238" t="s">
        <v>92</v>
      </c>
      <c r="AI238" t="s">
        <v>551</v>
      </c>
      <c r="AJ238" t="s">
        <v>68</v>
      </c>
      <c r="AK238" t="s">
        <v>82</v>
      </c>
      <c r="AL238" t="s">
        <v>70</v>
      </c>
      <c r="AM238">
        <v>17</v>
      </c>
      <c r="AN238">
        <v>2026</v>
      </c>
      <c r="AO238" t="s">
        <v>71</v>
      </c>
      <c r="AP238">
        <v>17</v>
      </c>
      <c r="AQ238" t="s">
        <v>71</v>
      </c>
    </row>
    <row r="239" spans="1:43" x14ac:dyDescent="0.25">
      <c r="A239">
        <v>238</v>
      </c>
      <c r="B239" t="s">
        <v>249</v>
      </c>
      <c r="C239" t="s">
        <v>1440</v>
      </c>
      <c r="D239" t="s">
        <v>1441</v>
      </c>
      <c r="E239" t="s">
        <v>1442</v>
      </c>
      <c r="F239" t="s">
        <v>47</v>
      </c>
      <c r="I239" t="s">
        <v>254</v>
      </c>
      <c r="K239" s="2">
        <v>46220.640060682897</v>
      </c>
      <c r="L239" s="2">
        <v>46228.333392511602</v>
      </c>
      <c r="M239" t="s">
        <v>76</v>
      </c>
      <c r="N239" t="s">
        <v>77</v>
      </c>
      <c r="O239" t="s">
        <v>54</v>
      </c>
      <c r="P239" t="s">
        <v>55</v>
      </c>
      <c r="Q239" t="s">
        <v>161</v>
      </c>
      <c r="S239" t="s">
        <v>68</v>
      </c>
      <c r="V239" t="s">
        <v>59</v>
      </c>
      <c r="W239" t="s">
        <v>90</v>
      </c>
      <c r="X239" t="s">
        <v>61</v>
      </c>
      <c r="Y239" t="s">
        <v>47</v>
      </c>
      <c r="AA239" t="s">
        <v>1443</v>
      </c>
      <c r="AF239" t="s">
        <v>92</v>
      </c>
      <c r="AI239" t="s">
        <v>551</v>
      </c>
      <c r="AJ239" t="s">
        <v>68</v>
      </c>
      <c r="AK239" t="s">
        <v>82</v>
      </c>
      <c r="AL239" t="s">
        <v>70</v>
      </c>
      <c r="AM239">
        <v>17</v>
      </c>
      <c r="AN239">
        <v>2026</v>
      </c>
      <c r="AO239" t="s">
        <v>71</v>
      </c>
      <c r="AP239">
        <v>25</v>
      </c>
      <c r="AQ239" t="s">
        <v>71</v>
      </c>
    </row>
    <row r="240" spans="1:43" x14ac:dyDescent="0.25">
      <c r="A240">
        <v>239</v>
      </c>
      <c r="B240" t="s">
        <v>278</v>
      </c>
      <c r="C240" t="s">
        <v>1444</v>
      </c>
      <c r="D240" t="s">
        <v>1445</v>
      </c>
      <c r="E240" t="s">
        <v>1446</v>
      </c>
      <c r="F240" t="s">
        <v>47</v>
      </c>
      <c r="G240" t="s">
        <v>1447</v>
      </c>
      <c r="H240" t="s">
        <v>1448</v>
      </c>
      <c r="I240" t="s">
        <v>284</v>
      </c>
      <c r="J240" t="s">
        <v>51</v>
      </c>
      <c r="K240" s="2">
        <v>46220.459141319399</v>
      </c>
      <c r="L240" s="2">
        <v>46224.954961423602</v>
      </c>
      <c r="M240" t="s">
        <v>52</v>
      </c>
      <c r="N240" t="s">
        <v>53</v>
      </c>
      <c r="O240" t="s">
        <v>54</v>
      </c>
      <c r="P240" t="s">
        <v>55</v>
      </c>
      <c r="Q240" t="s">
        <v>56</v>
      </c>
      <c r="R240" t="s">
        <v>57</v>
      </c>
      <c r="S240" t="s">
        <v>58</v>
      </c>
      <c r="V240" t="s">
        <v>59</v>
      </c>
      <c r="W240" t="s">
        <v>90</v>
      </c>
      <c r="X240" t="s">
        <v>61</v>
      </c>
      <c r="Y240" t="s">
        <v>47</v>
      </c>
      <c r="Z240" t="s">
        <v>114</v>
      </c>
      <c r="AA240" t="s">
        <v>1449</v>
      </c>
      <c r="AB240">
        <v>112774000</v>
      </c>
      <c r="AC240" t="s">
        <v>58</v>
      </c>
      <c r="AD240" s="2">
        <v>46223</v>
      </c>
      <c r="AE240" t="s">
        <v>1450</v>
      </c>
      <c r="AF240" t="s">
        <v>1451</v>
      </c>
      <c r="AG240" t="s">
        <v>66</v>
      </c>
      <c r="AI240" t="s">
        <v>179</v>
      </c>
      <c r="AJ240" t="s">
        <v>68</v>
      </c>
      <c r="AK240" t="s">
        <v>69</v>
      </c>
      <c r="AL240" t="s">
        <v>70</v>
      </c>
      <c r="AM240">
        <v>17</v>
      </c>
      <c r="AN240">
        <v>2026</v>
      </c>
      <c r="AO240" t="s">
        <v>71</v>
      </c>
      <c r="AP240">
        <v>21</v>
      </c>
      <c r="AQ240" t="s">
        <v>71</v>
      </c>
    </row>
    <row r="241" spans="1:43" x14ac:dyDescent="0.25">
      <c r="A241">
        <v>240</v>
      </c>
      <c r="B241" t="s">
        <v>83</v>
      </c>
      <c r="C241" t="s">
        <v>1452</v>
      </c>
      <c r="D241" t="s">
        <v>1453</v>
      </c>
      <c r="E241" t="s">
        <v>1454</v>
      </c>
      <c r="F241" t="s">
        <v>47</v>
      </c>
      <c r="H241" t="s">
        <v>1455</v>
      </c>
      <c r="I241" t="s">
        <v>87</v>
      </c>
      <c r="J241" t="s">
        <v>295</v>
      </c>
      <c r="K241" s="2">
        <v>46221.532318518497</v>
      </c>
      <c r="L241" s="2">
        <v>46224.544582986098</v>
      </c>
      <c r="M241" t="s">
        <v>241</v>
      </c>
      <c r="N241" t="s">
        <v>242</v>
      </c>
      <c r="O241" t="s">
        <v>54</v>
      </c>
      <c r="P241" t="s">
        <v>55</v>
      </c>
      <c r="Q241" t="s">
        <v>126</v>
      </c>
      <c r="R241" t="s">
        <v>57</v>
      </c>
      <c r="S241" t="s">
        <v>58</v>
      </c>
      <c r="V241" t="s">
        <v>59</v>
      </c>
      <c r="W241" t="s">
        <v>90</v>
      </c>
      <c r="X241" t="s">
        <v>61</v>
      </c>
      <c r="Y241" t="s">
        <v>47</v>
      </c>
      <c r="Z241" t="s">
        <v>186</v>
      </c>
      <c r="AA241" t="s">
        <v>1456</v>
      </c>
      <c r="AC241" t="s">
        <v>58</v>
      </c>
      <c r="AD241" s="2">
        <v>46223</v>
      </c>
      <c r="AE241" t="s">
        <v>92</v>
      </c>
      <c r="AF241" t="s">
        <v>92</v>
      </c>
      <c r="AG241" t="s">
        <v>365</v>
      </c>
      <c r="AI241" t="s">
        <v>179</v>
      </c>
      <c r="AJ241" t="s">
        <v>68</v>
      </c>
      <c r="AK241" t="s">
        <v>248</v>
      </c>
      <c r="AL241" t="s">
        <v>70</v>
      </c>
      <c r="AM241">
        <v>18</v>
      </c>
      <c r="AN241">
        <v>2026</v>
      </c>
      <c r="AO241" t="s">
        <v>71</v>
      </c>
      <c r="AP241">
        <v>21</v>
      </c>
      <c r="AQ241" t="s">
        <v>71</v>
      </c>
    </row>
    <row r="242" spans="1:43" x14ac:dyDescent="0.25">
      <c r="A242">
        <v>241</v>
      </c>
      <c r="B242" t="s">
        <v>99</v>
      </c>
      <c r="C242" t="s">
        <v>1457</v>
      </c>
      <c r="D242" t="s">
        <v>1458</v>
      </c>
      <c r="E242" t="s">
        <v>1459</v>
      </c>
      <c r="F242" t="s">
        <v>47</v>
      </c>
      <c r="I242" t="s">
        <v>1460</v>
      </c>
      <c r="K242" s="2">
        <v>46221.492264965302</v>
      </c>
      <c r="L242" s="2">
        <v>46229.333346956002</v>
      </c>
      <c r="M242" t="s">
        <v>76</v>
      </c>
      <c r="N242" t="s">
        <v>77</v>
      </c>
      <c r="O242" t="s">
        <v>54</v>
      </c>
      <c r="P242" t="s">
        <v>285</v>
      </c>
      <c r="Q242" t="s">
        <v>154</v>
      </c>
      <c r="S242" t="s">
        <v>68</v>
      </c>
      <c r="V242" t="s">
        <v>59</v>
      </c>
      <c r="W242" t="s">
        <v>90</v>
      </c>
      <c r="X242" t="s">
        <v>61</v>
      </c>
      <c r="Y242" t="s">
        <v>47</v>
      </c>
      <c r="AA242" t="s">
        <v>1461</v>
      </c>
      <c r="AF242" t="s">
        <v>92</v>
      </c>
      <c r="AI242" t="s">
        <v>1462</v>
      </c>
      <c r="AJ242" t="s">
        <v>68</v>
      </c>
      <c r="AK242" t="s">
        <v>82</v>
      </c>
      <c r="AL242" t="s">
        <v>70</v>
      </c>
      <c r="AM242">
        <v>18</v>
      </c>
      <c r="AN242">
        <v>2026</v>
      </c>
      <c r="AO242" t="s">
        <v>71</v>
      </c>
      <c r="AP242">
        <v>26</v>
      </c>
      <c r="AQ242" t="s">
        <v>71</v>
      </c>
    </row>
    <row r="243" spans="1:43" x14ac:dyDescent="0.25">
      <c r="A243">
        <v>242</v>
      </c>
      <c r="B243" t="s">
        <v>106</v>
      </c>
      <c r="C243" t="s">
        <v>1463</v>
      </c>
      <c r="D243" t="s">
        <v>1464</v>
      </c>
      <c r="E243" t="s">
        <v>1465</v>
      </c>
      <c r="F243" t="s">
        <v>47</v>
      </c>
      <c r="I243" t="s">
        <v>112</v>
      </c>
      <c r="K243" s="2">
        <v>46221.507591585701</v>
      </c>
      <c r="L243" s="2">
        <v>46229.333346956002</v>
      </c>
      <c r="M243" t="s">
        <v>76</v>
      </c>
      <c r="N243" t="s">
        <v>77</v>
      </c>
      <c r="O243" t="s">
        <v>54</v>
      </c>
      <c r="P243" t="s">
        <v>55</v>
      </c>
      <c r="Q243" t="s">
        <v>161</v>
      </c>
      <c r="S243" t="s">
        <v>68</v>
      </c>
      <c r="V243" t="s">
        <v>59</v>
      </c>
      <c r="W243" t="s">
        <v>60</v>
      </c>
      <c r="X243" t="s">
        <v>61</v>
      </c>
      <c r="Y243" t="s">
        <v>47</v>
      </c>
      <c r="AA243" t="s">
        <v>1466</v>
      </c>
      <c r="AF243" t="s">
        <v>117</v>
      </c>
      <c r="AI243" t="s">
        <v>212</v>
      </c>
      <c r="AJ243" t="s">
        <v>68</v>
      </c>
      <c r="AK243" t="s">
        <v>82</v>
      </c>
      <c r="AL243" t="s">
        <v>70</v>
      </c>
      <c r="AM243">
        <v>18</v>
      </c>
      <c r="AN243">
        <v>2026</v>
      </c>
      <c r="AO243" t="s">
        <v>71</v>
      </c>
      <c r="AP243">
        <v>26</v>
      </c>
      <c r="AQ243" t="s">
        <v>71</v>
      </c>
    </row>
    <row r="244" spans="1:43" x14ac:dyDescent="0.25">
      <c r="A244">
        <v>243</v>
      </c>
      <c r="B244" t="s">
        <v>106</v>
      </c>
      <c r="C244" t="s">
        <v>1467</v>
      </c>
      <c r="D244" t="s">
        <v>1468</v>
      </c>
      <c r="E244" t="s">
        <v>1469</v>
      </c>
      <c r="F244" t="s">
        <v>47</v>
      </c>
      <c r="I244" t="s">
        <v>112</v>
      </c>
      <c r="K244" s="2">
        <v>46221.509927118102</v>
      </c>
      <c r="L244" s="2">
        <v>46229.333346956002</v>
      </c>
      <c r="M244" t="s">
        <v>76</v>
      </c>
      <c r="N244" t="s">
        <v>77</v>
      </c>
      <c r="O244" t="s">
        <v>54</v>
      </c>
      <c r="P244" t="s">
        <v>88</v>
      </c>
      <c r="Q244" t="s">
        <v>113</v>
      </c>
      <c r="S244" t="s">
        <v>68</v>
      </c>
      <c r="V244" t="s">
        <v>59</v>
      </c>
      <c r="W244" t="s">
        <v>60</v>
      </c>
      <c r="X244" t="s">
        <v>61</v>
      </c>
      <c r="Y244" t="s">
        <v>47</v>
      </c>
      <c r="AA244" t="s">
        <v>1470</v>
      </c>
      <c r="AF244" t="s">
        <v>117</v>
      </c>
      <c r="AI244" t="s">
        <v>475</v>
      </c>
      <c r="AJ244" t="s">
        <v>68</v>
      </c>
      <c r="AK244" t="s">
        <v>82</v>
      </c>
      <c r="AL244" t="s">
        <v>70</v>
      </c>
      <c r="AM244">
        <v>18</v>
      </c>
      <c r="AN244">
        <v>2026</v>
      </c>
      <c r="AO244" t="s">
        <v>71</v>
      </c>
      <c r="AP244">
        <v>26</v>
      </c>
      <c r="AQ244" t="s">
        <v>71</v>
      </c>
    </row>
    <row r="245" spans="1:43" x14ac:dyDescent="0.25">
      <c r="A245">
        <v>244</v>
      </c>
      <c r="B245" t="s">
        <v>43</v>
      </c>
      <c r="C245" t="s">
        <v>1471</v>
      </c>
      <c r="D245" t="s">
        <v>1472</v>
      </c>
      <c r="E245" t="s">
        <v>1473</v>
      </c>
      <c r="F245" t="s">
        <v>47</v>
      </c>
      <c r="G245" t="s">
        <v>1474</v>
      </c>
      <c r="H245" t="s">
        <v>1475</v>
      </c>
      <c r="I245" t="s">
        <v>50</v>
      </c>
      <c r="J245" t="s">
        <v>51</v>
      </c>
      <c r="K245" s="2">
        <v>46223.561395717603</v>
      </c>
      <c r="L245" s="2">
        <v>46227.419522916702</v>
      </c>
      <c r="M245" t="s">
        <v>52</v>
      </c>
      <c r="N245" t="s">
        <v>53</v>
      </c>
      <c r="O245" t="s">
        <v>54</v>
      </c>
      <c r="P245" t="s">
        <v>598</v>
      </c>
      <c r="Q245" t="s">
        <v>296</v>
      </c>
      <c r="R245" t="s">
        <v>57</v>
      </c>
      <c r="S245" t="s">
        <v>58</v>
      </c>
      <c r="V245" t="s">
        <v>59</v>
      </c>
      <c r="W245" t="s">
        <v>60</v>
      </c>
      <c r="X245" t="s">
        <v>61</v>
      </c>
      <c r="Y245" t="s">
        <v>47</v>
      </c>
      <c r="Z245" t="s">
        <v>62</v>
      </c>
      <c r="AA245" t="s">
        <v>1476</v>
      </c>
      <c r="AB245">
        <v>140800360</v>
      </c>
      <c r="AC245" t="s">
        <v>58</v>
      </c>
      <c r="AD245" s="2">
        <v>46226</v>
      </c>
      <c r="AE245" t="s">
        <v>1477</v>
      </c>
      <c r="AF245" t="s">
        <v>1477</v>
      </c>
      <c r="AG245" t="s">
        <v>66</v>
      </c>
      <c r="AI245" t="s">
        <v>686</v>
      </c>
      <c r="AJ245" t="s">
        <v>68</v>
      </c>
      <c r="AK245" t="s">
        <v>69</v>
      </c>
      <c r="AL245" t="s">
        <v>70</v>
      </c>
      <c r="AM245">
        <v>20</v>
      </c>
      <c r="AN245">
        <v>2026</v>
      </c>
      <c r="AO245" t="s">
        <v>71</v>
      </c>
      <c r="AP245">
        <v>24</v>
      </c>
      <c r="AQ245" t="s">
        <v>71</v>
      </c>
    </row>
    <row r="246" spans="1:43" x14ac:dyDescent="0.25">
      <c r="A246">
        <v>245</v>
      </c>
      <c r="B246" t="s">
        <v>83</v>
      </c>
      <c r="C246" t="s">
        <v>1478</v>
      </c>
      <c r="D246" t="s">
        <v>1479</v>
      </c>
      <c r="E246" t="s">
        <v>1480</v>
      </c>
      <c r="F246" t="s">
        <v>47</v>
      </c>
      <c r="I246" t="s">
        <v>193</v>
      </c>
      <c r="J246" t="s">
        <v>51</v>
      </c>
      <c r="K246" s="2">
        <v>46223.5448638542</v>
      </c>
      <c r="L246" s="2">
        <v>46223.563403900502</v>
      </c>
      <c r="M246" t="s">
        <v>76</v>
      </c>
      <c r="N246" t="s">
        <v>77</v>
      </c>
      <c r="O246" t="s">
        <v>54</v>
      </c>
      <c r="P246" t="s">
        <v>55</v>
      </c>
      <c r="Q246" t="s">
        <v>126</v>
      </c>
      <c r="R246" t="s">
        <v>306</v>
      </c>
      <c r="S246" t="s">
        <v>68</v>
      </c>
      <c r="V246" t="s">
        <v>59</v>
      </c>
      <c r="W246" t="s">
        <v>90</v>
      </c>
      <c r="X246" t="s">
        <v>61</v>
      </c>
      <c r="Y246" t="s">
        <v>47</v>
      </c>
      <c r="AA246" t="s">
        <v>1481</v>
      </c>
      <c r="AF246" t="s">
        <v>195</v>
      </c>
      <c r="AG246" t="s">
        <v>246</v>
      </c>
      <c r="AI246" t="s">
        <v>118</v>
      </c>
      <c r="AJ246" t="s">
        <v>68</v>
      </c>
      <c r="AK246" t="s">
        <v>82</v>
      </c>
      <c r="AL246" t="s">
        <v>70</v>
      </c>
      <c r="AM246">
        <v>20</v>
      </c>
      <c r="AN246">
        <v>2026</v>
      </c>
      <c r="AO246" t="s">
        <v>71</v>
      </c>
      <c r="AP246">
        <v>20</v>
      </c>
      <c r="AQ246" t="s">
        <v>71</v>
      </c>
    </row>
    <row r="247" spans="1:43" x14ac:dyDescent="0.25">
      <c r="A247">
        <v>246</v>
      </c>
      <c r="B247" t="s">
        <v>83</v>
      </c>
      <c r="C247" t="s">
        <v>1482</v>
      </c>
      <c r="D247" t="s">
        <v>1483</v>
      </c>
      <c r="E247" t="s">
        <v>1484</v>
      </c>
      <c r="F247" t="s">
        <v>47</v>
      </c>
      <c r="I247" t="s">
        <v>87</v>
      </c>
      <c r="K247" s="2">
        <v>46223.667319294</v>
      </c>
      <c r="L247" s="2">
        <v>46231.333338969896</v>
      </c>
      <c r="M247" t="s">
        <v>76</v>
      </c>
      <c r="N247" t="s">
        <v>77</v>
      </c>
      <c r="O247" t="s">
        <v>54</v>
      </c>
      <c r="P247" t="s">
        <v>55</v>
      </c>
      <c r="Q247" t="s">
        <v>113</v>
      </c>
      <c r="S247" t="s">
        <v>68</v>
      </c>
      <c r="V247" t="s">
        <v>59</v>
      </c>
      <c r="W247" t="s">
        <v>90</v>
      </c>
      <c r="X247" t="s">
        <v>61</v>
      </c>
      <c r="Y247" t="s">
        <v>47</v>
      </c>
      <c r="AA247" t="s">
        <v>1485</v>
      </c>
      <c r="AF247" t="s">
        <v>92</v>
      </c>
      <c r="AI247" t="s">
        <v>1486</v>
      </c>
      <c r="AJ247" t="s">
        <v>68</v>
      </c>
      <c r="AK247" t="s">
        <v>82</v>
      </c>
      <c r="AL247" t="s">
        <v>70</v>
      </c>
      <c r="AM247">
        <v>20</v>
      </c>
      <c r="AN247">
        <v>2026</v>
      </c>
      <c r="AO247" t="s">
        <v>71</v>
      </c>
      <c r="AP247">
        <v>28</v>
      </c>
      <c r="AQ247" t="s">
        <v>71</v>
      </c>
    </row>
    <row r="248" spans="1:43" x14ac:dyDescent="0.25">
      <c r="A248">
        <v>247</v>
      </c>
      <c r="B248" t="s">
        <v>83</v>
      </c>
      <c r="C248" t="s">
        <v>1452</v>
      </c>
      <c r="D248" t="s">
        <v>1487</v>
      </c>
      <c r="E248" t="s">
        <v>1488</v>
      </c>
      <c r="F248" t="s">
        <v>47</v>
      </c>
      <c r="I248" t="s">
        <v>87</v>
      </c>
      <c r="K248" s="2">
        <v>46223.904808761603</v>
      </c>
      <c r="L248" s="2">
        <v>46224.291934838002</v>
      </c>
      <c r="M248" t="s">
        <v>76</v>
      </c>
      <c r="N248" t="s">
        <v>77</v>
      </c>
      <c r="O248" t="s">
        <v>54</v>
      </c>
      <c r="P248" t="s">
        <v>55</v>
      </c>
      <c r="Q248" t="s">
        <v>126</v>
      </c>
      <c r="R248" t="s">
        <v>57</v>
      </c>
      <c r="S248" t="s">
        <v>68</v>
      </c>
      <c r="V248" t="s">
        <v>59</v>
      </c>
      <c r="W248" t="s">
        <v>90</v>
      </c>
      <c r="X248" t="s">
        <v>61</v>
      </c>
      <c r="Y248" t="s">
        <v>47</v>
      </c>
      <c r="AA248" t="s">
        <v>1456</v>
      </c>
      <c r="AF248" t="s">
        <v>92</v>
      </c>
      <c r="AI248" t="s">
        <v>179</v>
      </c>
      <c r="AJ248" t="s">
        <v>68</v>
      </c>
      <c r="AK248" t="s">
        <v>82</v>
      </c>
      <c r="AL248" t="s">
        <v>70</v>
      </c>
      <c r="AM248">
        <v>20</v>
      </c>
      <c r="AN248">
        <v>2026</v>
      </c>
      <c r="AO248" t="s">
        <v>71</v>
      </c>
      <c r="AP248">
        <v>21</v>
      </c>
      <c r="AQ248" t="s">
        <v>71</v>
      </c>
    </row>
    <row r="249" spans="1:43" x14ac:dyDescent="0.25">
      <c r="A249">
        <v>248</v>
      </c>
      <c r="B249" t="s">
        <v>99</v>
      </c>
      <c r="C249" t="s">
        <v>1489</v>
      </c>
      <c r="D249" t="s">
        <v>1490</v>
      </c>
      <c r="E249" t="s">
        <v>1491</v>
      </c>
      <c r="F249" t="s">
        <v>47</v>
      </c>
      <c r="I249" t="s">
        <v>839</v>
      </c>
      <c r="K249" s="2">
        <v>46223.892064849497</v>
      </c>
      <c r="L249" s="2">
        <v>46232.333340428202</v>
      </c>
      <c r="M249" t="s">
        <v>76</v>
      </c>
      <c r="N249" t="s">
        <v>77</v>
      </c>
      <c r="O249" t="s">
        <v>54</v>
      </c>
      <c r="P249" t="s">
        <v>88</v>
      </c>
      <c r="Q249" t="s">
        <v>56</v>
      </c>
      <c r="S249" t="s">
        <v>68</v>
      </c>
      <c r="V249" t="s">
        <v>59</v>
      </c>
      <c r="W249" t="s">
        <v>90</v>
      </c>
      <c r="X249" t="s">
        <v>61</v>
      </c>
      <c r="Y249" t="s">
        <v>47</v>
      </c>
      <c r="AA249" t="s">
        <v>1492</v>
      </c>
      <c r="AF249" t="s">
        <v>92</v>
      </c>
      <c r="AI249" t="s">
        <v>842</v>
      </c>
      <c r="AJ249" t="s">
        <v>68</v>
      </c>
      <c r="AK249" t="s">
        <v>82</v>
      </c>
      <c r="AL249" t="s">
        <v>70</v>
      </c>
      <c r="AM249">
        <v>20</v>
      </c>
      <c r="AN249">
        <v>2026</v>
      </c>
      <c r="AO249" t="s">
        <v>71</v>
      </c>
      <c r="AP249">
        <v>29</v>
      </c>
      <c r="AQ249" t="s">
        <v>71</v>
      </c>
    </row>
    <row r="250" spans="1:43" x14ac:dyDescent="0.25">
      <c r="A250">
        <v>249</v>
      </c>
      <c r="B250" t="s">
        <v>106</v>
      </c>
      <c r="C250" t="s">
        <v>1493</v>
      </c>
      <c r="D250" t="s">
        <v>1494</v>
      </c>
      <c r="E250" t="s">
        <v>1495</v>
      </c>
      <c r="F250" t="s">
        <v>47</v>
      </c>
      <c r="I250" t="s">
        <v>112</v>
      </c>
      <c r="K250" s="2">
        <v>46223.465169675903</v>
      </c>
      <c r="L250" s="2">
        <v>46231.333338969896</v>
      </c>
      <c r="M250" t="s">
        <v>76</v>
      </c>
      <c r="N250" t="s">
        <v>77</v>
      </c>
      <c r="O250" t="s">
        <v>54</v>
      </c>
      <c r="P250" t="s">
        <v>174</v>
      </c>
      <c r="Q250" t="s">
        <v>147</v>
      </c>
      <c r="S250" t="s">
        <v>68</v>
      </c>
      <c r="V250" t="s">
        <v>59</v>
      </c>
      <c r="W250" t="s">
        <v>60</v>
      </c>
      <c r="X250" t="s">
        <v>61</v>
      </c>
      <c r="Y250" t="s">
        <v>47</v>
      </c>
      <c r="AA250" t="s">
        <v>1496</v>
      </c>
      <c r="AF250" t="s">
        <v>117</v>
      </c>
      <c r="AI250" t="s">
        <v>1497</v>
      </c>
      <c r="AJ250" t="s">
        <v>68</v>
      </c>
      <c r="AK250" t="s">
        <v>82</v>
      </c>
      <c r="AL250" t="s">
        <v>70</v>
      </c>
      <c r="AM250">
        <v>20</v>
      </c>
      <c r="AN250">
        <v>2026</v>
      </c>
      <c r="AO250" t="s">
        <v>71</v>
      </c>
      <c r="AP250">
        <v>28</v>
      </c>
      <c r="AQ250" t="s">
        <v>71</v>
      </c>
    </row>
    <row r="251" spans="1:43" x14ac:dyDescent="0.25">
      <c r="A251">
        <v>250</v>
      </c>
      <c r="B251" t="s">
        <v>106</v>
      </c>
      <c r="C251" t="s">
        <v>1498</v>
      </c>
      <c r="D251" t="s">
        <v>1499</v>
      </c>
      <c r="E251" t="s">
        <v>1500</v>
      </c>
      <c r="F251" t="s">
        <v>47</v>
      </c>
      <c r="I251" t="s">
        <v>112</v>
      </c>
      <c r="K251" s="2">
        <v>46223.572915705998</v>
      </c>
      <c r="L251" s="2">
        <v>46231.333338969896</v>
      </c>
      <c r="M251" t="s">
        <v>76</v>
      </c>
      <c r="N251" t="s">
        <v>77</v>
      </c>
      <c r="O251" t="s">
        <v>54</v>
      </c>
      <c r="P251" t="s">
        <v>55</v>
      </c>
      <c r="Q251" t="s">
        <v>1501</v>
      </c>
      <c r="S251" t="s">
        <v>68</v>
      </c>
      <c r="V251" t="s">
        <v>59</v>
      </c>
      <c r="W251" t="s">
        <v>60</v>
      </c>
      <c r="X251" t="s">
        <v>61</v>
      </c>
      <c r="Y251" t="s">
        <v>47</v>
      </c>
      <c r="AA251" t="s">
        <v>1502</v>
      </c>
      <c r="AF251" t="s">
        <v>117</v>
      </c>
      <c r="AI251" t="s">
        <v>1503</v>
      </c>
      <c r="AJ251" t="s">
        <v>68</v>
      </c>
      <c r="AK251" t="s">
        <v>82</v>
      </c>
      <c r="AL251" t="s">
        <v>70</v>
      </c>
      <c r="AM251">
        <v>20</v>
      </c>
      <c r="AN251">
        <v>2026</v>
      </c>
      <c r="AO251" t="s">
        <v>71</v>
      </c>
      <c r="AP251">
        <v>28</v>
      </c>
      <c r="AQ251" t="s">
        <v>71</v>
      </c>
    </row>
    <row r="252" spans="1:43" x14ac:dyDescent="0.25">
      <c r="A252">
        <v>251</v>
      </c>
      <c r="B252" t="s">
        <v>106</v>
      </c>
      <c r="C252" t="s">
        <v>1504</v>
      </c>
      <c r="D252" t="s">
        <v>1505</v>
      </c>
      <c r="E252" t="s">
        <v>1506</v>
      </c>
      <c r="F252" t="s">
        <v>47</v>
      </c>
      <c r="I252" t="s">
        <v>112</v>
      </c>
      <c r="K252" s="2">
        <v>46223.5828289005</v>
      </c>
      <c r="L252" s="2">
        <v>46231.333338969896</v>
      </c>
      <c r="M252" t="s">
        <v>76</v>
      </c>
      <c r="N252" t="s">
        <v>77</v>
      </c>
      <c r="O252" t="s">
        <v>54</v>
      </c>
      <c r="P252" t="s">
        <v>55</v>
      </c>
      <c r="Q252" t="s">
        <v>175</v>
      </c>
      <c r="S252" t="s">
        <v>68</v>
      </c>
      <c r="V252" t="s">
        <v>59</v>
      </c>
      <c r="W252" t="s">
        <v>60</v>
      </c>
      <c r="X252" t="s">
        <v>61</v>
      </c>
      <c r="Y252" t="s">
        <v>47</v>
      </c>
      <c r="AA252" t="s">
        <v>1507</v>
      </c>
      <c r="AF252" t="s">
        <v>117</v>
      </c>
      <c r="AI252" t="s">
        <v>1508</v>
      </c>
      <c r="AJ252" t="s">
        <v>68</v>
      </c>
      <c r="AK252" t="s">
        <v>82</v>
      </c>
      <c r="AL252" t="s">
        <v>70</v>
      </c>
      <c r="AM252">
        <v>20</v>
      </c>
      <c r="AN252">
        <v>2026</v>
      </c>
      <c r="AO252" t="s">
        <v>71</v>
      </c>
      <c r="AP252">
        <v>28</v>
      </c>
      <c r="AQ252" t="s">
        <v>71</v>
      </c>
    </row>
    <row r="253" spans="1:43" x14ac:dyDescent="0.25">
      <c r="A253">
        <v>252</v>
      </c>
      <c r="B253" t="s">
        <v>345</v>
      </c>
      <c r="C253" t="s">
        <v>1509</v>
      </c>
      <c r="D253" t="s">
        <v>1510</v>
      </c>
      <c r="E253" t="s">
        <v>1511</v>
      </c>
      <c r="F253" t="s">
        <v>47</v>
      </c>
      <c r="G253" t="s">
        <v>2587</v>
      </c>
      <c r="H253" t="s">
        <v>1512</v>
      </c>
      <c r="I253" t="s">
        <v>351</v>
      </c>
      <c r="J253" t="s">
        <v>51</v>
      </c>
      <c r="K253" s="2">
        <v>46223.492604826402</v>
      </c>
      <c r="L253" s="2">
        <v>46234.791590080997</v>
      </c>
      <c r="M253" t="s">
        <v>52</v>
      </c>
      <c r="N253" t="s">
        <v>53</v>
      </c>
      <c r="O253" t="s">
        <v>54</v>
      </c>
      <c r="P253" t="s">
        <v>174</v>
      </c>
      <c r="Q253" t="s">
        <v>126</v>
      </c>
      <c r="R253" t="s">
        <v>57</v>
      </c>
      <c r="S253" t="s">
        <v>481</v>
      </c>
      <c r="V253" t="s">
        <v>59</v>
      </c>
      <c r="W253" t="s">
        <v>90</v>
      </c>
      <c r="X253" t="s">
        <v>61</v>
      </c>
      <c r="Y253" t="s">
        <v>47</v>
      </c>
      <c r="Z253" t="s">
        <v>114</v>
      </c>
      <c r="AA253" t="s">
        <v>1513</v>
      </c>
      <c r="AB253">
        <v>70582825</v>
      </c>
      <c r="AC253" t="s">
        <v>481</v>
      </c>
      <c r="AD253" s="2">
        <v>46230</v>
      </c>
      <c r="AE253" t="s">
        <v>2588</v>
      </c>
      <c r="AF253" t="s">
        <v>65</v>
      </c>
      <c r="AG253" t="s">
        <v>66</v>
      </c>
      <c r="AI253" t="s">
        <v>634</v>
      </c>
      <c r="AJ253" t="s">
        <v>68</v>
      </c>
      <c r="AK253" t="s">
        <v>69</v>
      </c>
      <c r="AL253" t="s">
        <v>70</v>
      </c>
      <c r="AM253">
        <v>20</v>
      </c>
      <c r="AN253">
        <v>2026</v>
      </c>
      <c r="AO253" t="s">
        <v>71</v>
      </c>
      <c r="AP253">
        <v>31</v>
      </c>
      <c r="AQ253" t="s">
        <v>71</v>
      </c>
    </row>
    <row r="254" spans="1:43" x14ac:dyDescent="0.25">
      <c r="A254">
        <v>253</v>
      </c>
      <c r="B254" t="s">
        <v>345</v>
      </c>
      <c r="C254" t="s">
        <v>1515</v>
      </c>
      <c r="D254" t="s">
        <v>1516</v>
      </c>
      <c r="E254" t="s">
        <v>1517</v>
      </c>
      <c r="F254" t="s">
        <v>47</v>
      </c>
      <c r="I254" t="s">
        <v>351</v>
      </c>
      <c r="K254" s="2">
        <v>46223.574187303202</v>
      </c>
      <c r="L254" s="2">
        <v>46223.5804768171</v>
      </c>
      <c r="M254" t="s">
        <v>76</v>
      </c>
      <c r="N254" t="s">
        <v>77</v>
      </c>
      <c r="O254" t="s">
        <v>54</v>
      </c>
      <c r="P254" t="s">
        <v>174</v>
      </c>
      <c r="Q254" t="s">
        <v>113</v>
      </c>
      <c r="R254" t="s">
        <v>57</v>
      </c>
      <c r="S254" t="s">
        <v>68</v>
      </c>
      <c r="V254" t="s">
        <v>59</v>
      </c>
      <c r="W254" t="s">
        <v>90</v>
      </c>
      <c r="X254" t="s">
        <v>61</v>
      </c>
      <c r="Y254" t="s">
        <v>47</v>
      </c>
      <c r="AA254" t="s">
        <v>1518</v>
      </c>
      <c r="AF254" t="s">
        <v>65</v>
      </c>
      <c r="AI254" t="s">
        <v>1519</v>
      </c>
      <c r="AJ254" t="s">
        <v>68</v>
      </c>
      <c r="AK254" t="s">
        <v>82</v>
      </c>
      <c r="AL254" t="s">
        <v>70</v>
      </c>
      <c r="AM254">
        <v>20</v>
      </c>
      <c r="AN254">
        <v>2026</v>
      </c>
      <c r="AO254" t="s">
        <v>71</v>
      </c>
      <c r="AP254">
        <v>20</v>
      </c>
      <c r="AQ254" t="s">
        <v>71</v>
      </c>
    </row>
    <row r="255" spans="1:43" x14ac:dyDescent="0.25">
      <c r="A255">
        <v>254</v>
      </c>
      <c r="B255" t="s">
        <v>345</v>
      </c>
      <c r="C255" t="s">
        <v>1520</v>
      </c>
      <c r="D255" t="s">
        <v>1521</v>
      </c>
      <c r="E255" t="s">
        <v>1522</v>
      </c>
      <c r="F255" t="s">
        <v>47</v>
      </c>
      <c r="I255" t="s">
        <v>435</v>
      </c>
      <c r="K255" s="2">
        <v>46223.824638460603</v>
      </c>
      <c r="L255" s="2">
        <v>46231.333338969896</v>
      </c>
      <c r="M255" t="s">
        <v>76</v>
      </c>
      <c r="N255" t="s">
        <v>77</v>
      </c>
      <c r="O255" t="s">
        <v>54</v>
      </c>
      <c r="P255" t="s">
        <v>55</v>
      </c>
      <c r="Q255" t="s">
        <v>161</v>
      </c>
      <c r="S255" t="s">
        <v>68</v>
      </c>
      <c r="V255" t="s">
        <v>59</v>
      </c>
      <c r="W255" t="s">
        <v>90</v>
      </c>
      <c r="X255" t="s">
        <v>61</v>
      </c>
      <c r="Y255" t="s">
        <v>47</v>
      </c>
      <c r="AA255" t="s">
        <v>1523</v>
      </c>
      <c r="AF255" t="s">
        <v>1524</v>
      </c>
      <c r="AI255" t="s">
        <v>438</v>
      </c>
      <c r="AJ255" t="s">
        <v>68</v>
      </c>
      <c r="AK255" t="s">
        <v>82</v>
      </c>
      <c r="AL255" t="s">
        <v>70</v>
      </c>
      <c r="AM255">
        <v>20</v>
      </c>
      <c r="AN255">
        <v>2026</v>
      </c>
      <c r="AO255" t="s">
        <v>71</v>
      </c>
      <c r="AP255">
        <v>28</v>
      </c>
      <c r="AQ255" t="s">
        <v>71</v>
      </c>
    </row>
    <row r="256" spans="1:43" x14ac:dyDescent="0.25">
      <c r="A256">
        <v>255</v>
      </c>
      <c r="B256" t="s">
        <v>1073</v>
      </c>
      <c r="C256" t="s">
        <v>1525</v>
      </c>
      <c r="D256" t="s">
        <v>1526</v>
      </c>
      <c r="E256" t="s">
        <v>1527</v>
      </c>
      <c r="F256" t="s">
        <v>47</v>
      </c>
      <c r="I256" t="s">
        <v>1268</v>
      </c>
      <c r="J256" t="s">
        <v>51</v>
      </c>
      <c r="K256" s="2">
        <v>46223.600370057902</v>
      </c>
      <c r="L256" s="2">
        <v>46223.703309803197</v>
      </c>
      <c r="M256" t="s">
        <v>76</v>
      </c>
      <c r="N256" t="s">
        <v>77</v>
      </c>
      <c r="O256" t="s">
        <v>54</v>
      </c>
      <c r="P256" t="s">
        <v>55</v>
      </c>
      <c r="Q256" t="s">
        <v>56</v>
      </c>
      <c r="R256" t="s">
        <v>1528</v>
      </c>
      <c r="S256" t="s">
        <v>68</v>
      </c>
      <c r="V256" t="s">
        <v>59</v>
      </c>
      <c r="W256" t="s">
        <v>60</v>
      </c>
      <c r="X256" t="s">
        <v>61</v>
      </c>
      <c r="Y256" t="s">
        <v>47</v>
      </c>
      <c r="AA256" t="s">
        <v>1529</v>
      </c>
      <c r="AF256" t="s">
        <v>117</v>
      </c>
      <c r="AG256" t="s">
        <v>246</v>
      </c>
      <c r="AI256" t="s">
        <v>1530</v>
      </c>
      <c r="AJ256" t="s">
        <v>68</v>
      </c>
      <c r="AK256" t="s">
        <v>82</v>
      </c>
      <c r="AL256" t="s">
        <v>70</v>
      </c>
      <c r="AM256">
        <v>20</v>
      </c>
      <c r="AN256">
        <v>2026</v>
      </c>
      <c r="AO256" t="s">
        <v>71</v>
      </c>
      <c r="AP256">
        <v>20</v>
      </c>
      <c r="AQ256" t="s">
        <v>71</v>
      </c>
    </row>
    <row r="257" spans="1:43" x14ac:dyDescent="0.25">
      <c r="A257">
        <v>256</v>
      </c>
      <c r="B257" t="s">
        <v>1073</v>
      </c>
      <c r="C257" t="s">
        <v>1531</v>
      </c>
      <c r="D257" t="s">
        <v>1532</v>
      </c>
      <c r="E257" t="s">
        <v>1533</v>
      </c>
      <c r="F257" t="s">
        <v>47</v>
      </c>
      <c r="I257" t="s">
        <v>1534</v>
      </c>
      <c r="K257" s="2">
        <v>46223.665802812502</v>
      </c>
      <c r="L257" s="2">
        <v>46223.670210300901</v>
      </c>
      <c r="M257" t="s">
        <v>1165</v>
      </c>
      <c r="N257" t="s">
        <v>1166</v>
      </c>
      <c r="O257" t="s">
        <v>54</v>
      </c>
      <c r="P257" t="s">
        <v>55</v>
      </c>
      <c r="Q257" t="s">
        <v>185</v>
      </c>
      <c r="R257" t="s">
        <v>57</v>
      </c>
      <c r="S257" t="s">
        <v>1282</v>
      </c>
      <c r="V257" t="s">
        <v>59</v>
      </c>
      <c r="W257" t="s">
        <v>60</v>
      </c>
      <c r="X257" t="s">
        <v>61</v>
      </c>
      <c r="Y257" t="s">
        <v>47</v>
      </c>
      <c r="AA257" t="s">
        <v>1535</v>
      </c>
      <c r="AF257" t="s">
        <v>92</v>
      </c>
      <c r="AI257" t="s">
        <v>1536</v>
      </c>
      <c r="AJ257" t="s">
        <v>68</v>
      </c>
      <c r="AK257" t="s">
        <v>248</v>
      </c>
      <c r="AL257" t="s">
        <v>70</v>
      </c>
      <c r="AM257">
        <v>20</v>
      </c>
      <c r="AN257">
        <v>2026</v>
      </c>
      <c r="AO257" t="s">
        <v>71</v>
      </c>
      <c r="AP257">
        <v>20</v>
      </c>
      <c r="AQ257" t="s">
        <v>71</v>
      </c>
    </row>
    <row r="258" spans="1:43" x14ac:dyDescent="0.25">
      <c r="A258">
        <v>257</v>
      </c>
      <c r="B258" t="s">
        <v>229</v>
      </c>
      <c r="C258" t="s">
        <v>1537</v>
      </c>
      <c r="D258" t="s">
        <v>1538</v>
      </c>
      <c r="E258" t="s">
        <v>1539</v>
      </c>
      <c r="F258" t="s">
        <v>47</v>
      </c>
      <c r="I258" t="s">
        <v>233</v>
      </c>
      <c r="K258" s="2">
        <v>46223.455625543997</v>
      </c>
      <c r="L258" s="2">
        <v>46231.333338969896</v>
      </c>
      <c r="M258" t="s">
        <v>76</v>
      </c>
      <c r="N258" t="s">
        <v>77</v>
      </c>
      <c r="O258" t="s">
        <v>54</v>
      </c>
      <c r="P258" t="s">
        <v>88</v>
      </c>
      <c r="Q258" t="s">
        <v>161</v>
      </c>
      <c r="S258" t="s">
        <v>68</v>
      </c>
      <c r="V258" t="s">
        <v>59</v>
      </c>
      <c r="W258" t="s">
        <v>90</v>
      </c>
      <c r="X258" t="s">
        <v>61</v>
      </c>
      <c r="Y258" t="s">
        <v>47</v>
      </c>
      <c r="AA258" t="s">
        <v>1540</v>
      </c>
      <c r="AF258" t="s">
        <v>161</v>
      </c>
      <c r="AI258" t="s">
        <v>648</v>
      </c>
      <c r="AJ258" t="s">
        <v>68</v>
      </c>
      <c r="AK258" t="s">
        <v>82</v>
      </c>
      <c r="AL258" t="s">
        <v>70</v>
      </c>
      <c r="AM258">
        <v>20</v>
      </c>
      <c r="AN258">
        <v>2026</v>
      </c>
      <c r="AO258" t="s">
        <v>71</v>
      </c>
      <c r="AP258">
        <v>28</v>
      </c>
      <c r="AQ258" t="s">
        <v>71</v>
      </c>
    </row>
    <row r="259" spans="1:43" x14ac:dyDescent="0.25">
      <c r="A259">
        <v>258</v>
      </c>
      <c r="B259" t="s">
        <v>229</v>
      </c>
      <c r="C259" t="s">
        <v>1541</v>
      </c>
      <c r="D259" t="s">
        <v>1542</v>
      </c>
      <c r="E259" t="s">
        <v>1543</v>
      </c>
      <c r="F259" t="s">
        <v>47</v>
      </c>
      <c r="I259" t="s">
        <v>233</v>
      </c>
      <c r="K259" s="2">
        <v>46223.4951895833</v>
      </c>
      <c r="L259" s="2">
        <v>46231.333338969896</v>
      </c>
      <c r="M259" t="s">
        <v>76</v>
      </c>
      <c r="N259" t="s">
        <v>77</v>
      </c>
      <c r="O259" t="s">
        <v>54</v>
      </c>
      <c r="P259" t="s">
        <v>879</v>
      </c>
      <c r="Q259" t="s">
        <v>113</v>
      </c>
      <c r="S259" t="s">
        <v>68</v>
      </c>
      <c r="V259" t="s">
        <v>59</v>
      </c>
      <c r="W259" t="s">
        <v>90</v>
      </c>
      <c r="X259" t="s">
        <v>61</v>
      </c>
      <c r="Y259" t="s">
        <v>47</v>
      </c>
      <c r="AA259" t="s">
        <v>1544</v>
      </c>
      <c r="AF259" t="s">
        <v>245</v>
      </c>
      <c r="AI259" t="s">
        <v>1097</v>
      </c>
      <c r="AJ259" t="s">
        <v>68</v>
      </c>
      <c r="AK259" t="s">
        <v>82</v>
      </c>
      <c r="AL259" t="s">
        <v>70</v>
      </c>
      <c r="AM259">
        <v>20</v>
      </c>
      <c r="AN259">
        <v>2026</v>
      </c>
      <c r="AO259" t="s">
        <v>71</v>
      </c>
      <c r="AP259">
        <v>28</v>
      </c>
      <c r="AQ259" t="s">
        <v>71</v>
      </c>
    </row>
    <row r="260" spans="1:43" x14ac:dyDescent="0.25">
      <c r="A260">
        <v>259</v>
      </c>
      <c r="B260" t="s">
        <v>229</v>
      </c>
      <c r="C260" t="s">
        <v>1545</v>
      </c>
      <c r="D260" t="s">
        <v>1546</v>
      </c>
      <c r="E260" t="s">
        <v>1547</v>
      </c>
      <c r="F260" t="s">
        <v>47</v>
      </c>
      <c r="I260" t="s">
        <v>233</v>
      </c>
      <c r="K260" s="2">
        <v>46223.591868900498</v>
      </c>
      <c r="L260" s="2">
        <v>46231.333338969896</v>
      </c>
      <c r="M260" t="s">
        <v>76</v>
      </c>
      <c r="N260" t="s">
        <v>77</v>
      </c>
      <c r="O260" t="s">
        <v>54</v>
      </c>
      <c r="P260" t="s">
        <v>174</v>
      </c>
      <c r="Q260" t="s">
        <v>89</v>
      </c>
      <c r="S260" t="s">
        <v>68</v>
      </c>
      <c r="V260" t="s">
        <v>59</v>
      </c>
      <c r="W260" t="s">
        <v>90</v>
      </c>
      <c r="X260" t="s">
        <v>61</v>
      </c>
      <c r="Y260" t="s">
        <v>47</v>
      </c>
      <c r="AA260" t="s">
        <v>1548</v>
      </c>
      <c r="AF260" t="s">
        <v>245</v>
      </c>
      <c r="AI260" t="s">
        <v>1549</v>
      </c>
      <c r="AJ260" t="s">
        <v>68</v>
      </c>
      <c r="AK260" t="s">
        <v>82</v>
      </c>
      <c r="AL260" t="s">
        <v>70</v>
      </c>
      <c r="AM260">
        <v>20</v>
      </c>
      <c r="AN260">
        <v>2026</v>
      </c>
      <c r="AO260" t="s">
        <v>71</v>
      </c>
      <c r="AP260">
        <v>28</v>
      </c>
      <c r="AQ260" t="s">
        <v>71</v>
      </c>
    </row>
    <row r="261" spans="1:43" x14ac:dyDescent="0.25">
      <c r="A261">
        <v>260</v>
      </c>
      <c r="B261" t="s">
        <v>249</v>
      </c>
      <c r="C261" t="s">
        <v>1550</v>
      </c>
      <c r="D261" t="s">
        <v>1551</v>
      </c>
      <c r="E261" t="s">
        <v>1552</v>
      </c>
      <c r="F261" t="s">
        <v>47</v>
      </c>
      <c r="I261" t="s">
        <v>254</v>
      </c>
      <c r="K261" s="2">
        <v>46223.462946562497</v>
      </c>
      <c r="L261" s="2">
        <v>46231.333338969896</v>
      </c>
      <c r="M261" t="s">
        <v>76</v>
      </c>
      <c r="N261" t="s">
        <v>77</v>
      </c>
      <c r="O261" t="s">
        <v>54</v>
      </c>
      <c r="P261" t="s">
        <v>55</v>
      </c>
      <c r="Q261" t="s">
        <v>89</v>
      </c>
      <c r="S261" t="s">
        <v>68</v>
      </c>
      <c r="V261" t="s">
        <v>59</v>
      </c>
      <c r="W261" t="s">
        <v>90</v>
      </c>
      <c r="X261" t="s">
        <v>61</v>
      </c>
      <c r="Y261" t="s">
        <v>47</v>
      </c>
      <c r="AA261" t="s">
        <v>1553</v>
      </c>
      <c r="AF261" t="s">
        <v>92</v>
      </c>
      <c r="AI261" t="s">
        <v>1554</v>
      </c>
      <c r="AJ261" t="s">
        <v>68</v>
      </c>
      <c r="AK261" t="s">
        <v>82</v>
      </c>
      <c r="AL261" t="s">
        <v>70</v>
      </c>
      <c r="AM261">
        <v>20</v>
      </c>
      <c r="AN261">
        <v>2026</v>
      </c>
      <c r="AO261" t="s">
        <v>71</v>
      </c>
      <c r="AP261">
        <v>28</v>
      </c>
      <c r="AQ261" t="s">
        <v>71</v>
      </c>
    </row>
    <row r="262" spans="1:43" x14ac:dyDescent="0.25">
      <c r="A262">
        <v>261</v>
      </c>
      <c r="B262" t="s">
        <v>263</v>
      </c>
      <c r="C262" t="s">
        <v>1555</v>
      </c>
      <c r="D262" t="s">
        <v>1556</v>
      </c>
      <c r="E262" t="s">
        <v>1557</v>
      </c>
      <c r="F262" t="s">
        <v>47</v>
      </c>
      <c r="I262" t="s">
        <v>267</v>
      </c>
      <c r="K262" s="2">
        <v>46223.540582789297</v>
      </c>
      <c r="L262" s="2">
        <v>46231.333338969896</v>
      </c>
      <c r="M262" t="s">
        <v>76</v>
      </c>
      <c r="N262" t="s">
        <v>77</v>
      </c>
      <c r="O262" t="s">
        <v>54</v>
      </c>
      <c r="P262" t="s">
        <v>160</v>
      </c>
      <c r="Q262" t="s">
        <v>126</v>
      </c>
      <c r="S262" t="s">
        <v>68</v>
      </c>
      <c r="V262" t="s">
        <v>59</v>
      </c>
      <c r="W262" t="s">
        <v>90</v>
      </c>
      <c r="X262" t="s">
        <v>61</v>
      </c>
      <c r="Y262" t="s">
        <v>47</v>
      </c>
      <c r="AA262" t="s">
        <v>1558</v>
      </c>
      <c r="AF262" t="s">
        <v>92</v>
      </c>
      <c r="AI262" t="s">
        <v>269</v>
      </c>
      <c r="AJ262" t="s">
        <v>68</v>
      </c>
      <c r="AK262" t="s">
        <v>82</v>
      </c>
      <c r="AL262" t="s">
        <v>70</v>
      </c>
      <c r="AM262">
        <v>20</v>
      </c>
      <c r="AN262">
        <v>2026</v>
      </c>
      <c r="AO262" t="s">
        <v>71</v>
      </c>
      <c r="AP262">
        <v>28</v>
      </c>
      <c r="AQ262" t="s">
        <v>71</v>
      </c>
    </row>
    <row r="263" spans="1:43" x14ac:dyDescent="0.25">
      <c r="A263">
        <v>262</v>
      </c>
      <c r="B263" t="s">
        <v>263</v>
      </c>
      <c r="C263" t="s">
        <v>1559</v>
      </c>
      <c r="D263" t="s">
        <v>1560</v>
      </c>
      <c r="E263" t="s">
        <v>1561</v>
      </c>
      <c r="F263" t="s">
        <v>47</v>
      </c>
      <c r="G263" t="s">
        <v>1562</v>
      </c>
      <c r="H263" t="s">
        <v>1563</v>
      </c>
      <c r="I263" t="s">
        <v>267</v>
      </c>
      <c r="J263" t="s">
        <v>51</v>
      </c>
      <c r="K263" s="2">
        <v>46223.557124849503</v>
      </c>
      <c r="L263" s="2">
        <v>46225.558872569403</v>
      </c>
      <c r="M263" t="s">
        <v>52</v>
      </c>
      <c r="N263" t="s">
        <v>53</v>
      </c>
      <c r="O263" t="s">
        <v>54</v>
      </c>
      <c r="P263" t="s">
        <v>55</v>
      </c>
      <c r="Q263" t="s">
        <v>56</v>
      </c>
      <c r="R263" t="s">
        <v>57</v>
      </c>
      <c r="S263" t="s">
        <v>58</v>
      </c>
      <c r="V263" t="s">
        <v>59</v>
      </c>
      <c r="W263" t="s">
        <v>90</v>
      </c>
      <c r="X263" t="s">
        <v>61</v>
      </c>
      <c r="Y263" t="s">
        <v>47</v>
      </c>
      <c r="Z263" t="s">
        <v>186</v>
      </c>
      <c r="AA263" t="s">
        <v>1564</v>
      </c>
      <c r="AB263">
        <v>187000000</v>
      </c>
      <c r="AC263" t="s">
        <v>58</v>
      </c>
      <c r="AD263" s="2">
        <v>46225</v>
      </c>
      <c r="AE263" t="s">
        <v>1565</v>
      </c>
      <c r="AF263" t="s">
        <v>92</v>
      </c>
      <c r="AG263" t="s">
        <v>66</v>
      </c>
      <c r="AI263" t="s">
        <v>567</v>
      </c>
      <c r="AJ263" t="s">
        <v>68</v>
      </c>
      <c r="AK263" t="s">
        <v>69</v>
      </c>
      <c r="AL263" t="s">
        <v>70</v>
      </c>
      <c r="AM263">
        <v>20</v>
      </c>
      <c r="AN263">
        <v>2026</v>
      </c>
      <c r="AO263" t="s">
        <v>71</v>
      </c>
      <c r="AP263">
        <v>22</v>
      </c>
      <c r="AQ263" t="s">
        <v>71</v>
      </c>
    </row>
    <row r="264" spans="1:43" x14ac:dyDescent="0.25">
      <c r="A264">
        <v>263</v>
      </c>
      <c r="B264" t="s">
        <v>263</v>
      </c>
      <c r="C264" t="s">
        <v>1566</v>
      </c>
      <c r="D264" t="s">
        <v>1567</v>
      </c>
      <c r="E264" t="s">
        <v>1568</v>
      </c>
      <c r="F264" t="s">
        <v>47</v>
      </c>
      <c r="H264" t="s">
        <v>1569</v>
      </c>
      <c r="I264" t="s">
        <v>267</v>
      </c>
      <c r="J264" t="s">
        <v>51</v>
      </c>
      <c r="K264" s="2">
        <v>46223.572263657399</v>
      </c>
      <c r="L264" s="2">
        <v>46226.590746724498</v>
      </c>
      <c r="M264" t="s">
        <v>241</v>
      </c>
      <c r="N264" t="s">
        <v>242</v>
      </c>
      <c r="O264" t="s">
        <v>54</v>
      </c>
      <c r="P264" t="s">
        <v>55</v>
      </c>
      <c r="Q264" t="s">
        <v>56</v>
      </c>
      <c r="R264" t="s">
        <v>57</v>
      </c>
      <c r="S264" t="s">
        <v>58</v>
      </c>
      <c r="V264" t="s">
        <v>59</v>
      </c>
      <c r="W264" t="s">
        <v>90</v>
      </c>
      <c r="X264" t="s">
        <v>61</v>
      </c>
      <c r="Y264" t="s">
        <v>47</v>
      </c>
      <c r="Z264" t="s">
        <v>114</v>
      </c>
      <c r="AA264" t="s">
        <v>1570</v>
      </c>
      <c r="AC264" t="s">
        <v>58</v>
      </c>
      <c r="AD264" s="2">
        <v>46226</v>
      </c>
      <c r="AE264" t="s">
        <v>92</v>
      </c>
      <c r="AF264" t="s">
        <v>92</v>
      </c>
      <c r="AG264" t="s">
        <v>246</v>
      </c>
      <c r="AI264" t="s">
        <v>1571</v>
      </c>
      <c r="AJ264" t="s">
        <v>68</v>
      </c>
      <c r="AK264" t="s">
        <v>248</v>
      </c>
      <c r="AL264" t="s">
        <v>70</v>
      </c>
      <c r="AM264">
        <v>20</v>
      </c>
      <c r="AN264">
        <v>2026</v>
      </c>
      <c r="AO264" t="s">
        <v>71</v>
      </c>
      <c r="AP264">
        <v>23</v>
      </c>
      <c r="AQ264" t="s">
        <v>71</v>
      </c>
    </row>
    <row r="265" spans="1:43" x14ac:dyDescent="0.25">
      <c r="A265">
        <v>264</v>
      </c>
      <c r="B265" t="s">
        <v>263</v>
      </c>
      <c r="C265" t="s">
        <v>1572</v>
      </c>
      <c r="D265" t="s">
        <v>1573</v>
      </c>
      <c r="E265" t="s">
        <v>1574</v>
      </c>
      <c r="F265" t="s">
        <v>47</v>
      </c>
      <c r="G265" t="s">
        <v>1575</v>
      </c>
      <c r="H265" t="s">
        <v>1576</v>
      </c>
      <c r="I265" t="s">
        <v>267</v>
      </c>
      <c r="J265" t="s">
        <v>51</v>
      </c>
      <c r="K265" s="2">
        <v>46223.589881909698</v>
      </c>
      <c r="L265" s="2">
        <v>46229.609905127298</v>
      </c>
      <c r="M265" t="s">
        <v>52</v>
      </c>
      <c r="N265" t="s">
        <v>53</v>
      </c>
      <c r="O265" t="s">
        <v>54</v>
      </c>
      <c r="P265" t="s">
        <v>55</v>
      </c>
      <c r="Q265" t="s">
        <v>405</v>
      </c>
      <c r="R265" t="s">
        <v>1106</v>
      </c>
      <c r="S265" t="s">
        <v>58</v>
      </c>
      <c r="V265" t="s">
        <v>59</v>
      </c>
      <c r="W265" t="s">
        <v>90</v>
      </c>
      <c r="X265" t="s">
        <v>61</v>
      </c>
      <c r="Y265" t="s">
        <v>47</v>
      </c>
      <c r="Z265" t="s">
        <v>62</v>
      </c>
      <c r="AA265" t="s">
        <v>1577</v>
      </c>
      <c r="AB265">
        <v>334900140</v>
      </c>
      <c r="AC265" t="s">
        <v>58</v>
      </c>
      <c r="AD265" s="2">
        <v>46227</v>
      </c>
      <c r="AE265" t="s">
        <v>1578</v>
      </c>
      <c r="AF265" t="s">
        <v>92</v>
      </c>
      <c r="AG265" t="s">
        <v>66</v>
      </c>
      <c r="AI265" t="s">
        <v>1579</v>
      </c>
      <c r="AJ265" t="s">
        <v>68</v>
      </c>
      <c r="AK265" t="s">
        <v>69</v>
      </c>
      <c r="AL265" t="s">
        <v>70</v>
      </c>
      <c r="AM265">
        <v>20</v>
      </c>
      <c r="AN265">
        <v>2026</v>
      </c>
      <c r="AO265" t="s">
        <v>71</v>
      </c>
      <c r="AP265">
        <v>26</v>
      </c>
      <c r="AQ265" t="s">
        <v>71</v>
      </c>
    </row>
    <row r="266" spans="1:43" x14ac:dyDescent="0.25">
      <c r="A266">
        <v>265</v>
      </c>
      <c r="B266" t="s">
        <v>400</v>
      </c>
      <c r="C266" t="s">
        <v>1580</v>
      </c>
      <c r="D266" t="s">
        <v>1581</v>
      </c>
      <c r="E266" t="s">
        <v>1582</v>
      </c>
      <c r="F266" t="s">
        <v>47</v>
      </c>
      <c r="I266" t="s">
        <v>404</v>
      </c>
      <c r="K266" s="2">
        <v>46223.341690659698</v>
      </c>
      <c r="L266" s="2">
        <v>46223.757600034704</v>
      </c>
      <c r="M266" t="s">
        <v>1433</v>
      </c>
      <c r="N266" t="s">
        <v>1434</v>
      </c>
      <c r="O266" t="s">
        <v>54</v>
      </c>
      <c r="P266" t="s">
        <v>55</v>
      </c>
      <c r="Q266" t="s">
        <v>185</v>
      </c>
      <c r="R266" t="s">
        <v>988</v>
      </c>
      <c r="S266" t="s">
        <v>1282</v>
      </c>
      <c r="V266" t="s">
        <v>59</v>
      </c>
      <c r="W266" t="s">
        <v>90</v>
      </c>
      <c r="X266" t="s">
        <v>61</v>
      </c>
      <c r="Y266" t="s">
        <v>47</v>
      </c>
      <c r="AA266" t="s">
        <v>1583</v>
      </c>
      <c r="AF266" t="s">
        <v>1584</v>
      </c>
      <c r="AI266" t="s">
        <v>416</v>
      </c>
      <c r="AJ266" t="s">
        <v>68</v>
      </c>
      <c r="AK266" t="s">
        <v>248</v>
      </c>
      <c r="AL266" t="s">
        <v>70</v>
      </c>
      <c r="AM266">
        <v>20</v>
      </c>
      <c r="AN266">
        <v>2026</v>
      </c>
      <c r="AO266" t="s">
        <v>71</v>
      </c>
      <c r="AP266">
        <v>20</v>
      </c>
      <c r="AQ266" t="s">
        <v>71</v>
      </c>
    </row>
    <row r="267" spans="1:43" x14ac:dyDescent="0.25">
      <c r="A267">
        <v>266</v>
      </c>
      <c r="B267" t="s">
        <v>400</v>
      </c>
      <c r="C267" t="s">
        <v>1585</v>
      </c>
      <c r="D267" t="s">
        <v>1586</v>
      </c>
      <c r="E267" t="s">
        <v>1587</v>
      </c>
      <c r="F267" t="s">
        <v>47</v>
      </c>
      <c r="I267" t="s">
        <v>404</v>
      </c>
      <c r="K267" s="2">
        <v>46223.500597685197</v>
      </c>
      <c r="L267" s="2">
        <v>46223.758323645801</v>
      </c>
      <c r="M267" t="s">
        <v>1433</v>
      </c>
      <c r="N267" t="s">
        <v>1434</v>
      </c>
      <c r="O267" t="s">
        <v>54</v>
      </c>
      <c r="P267" t="s">
        <v>88</v>
      </c>
      <c r="Q267" t="s">
        <v>161</v>
      </c>
      <c r="R267" t="s">
        <v>988</v>
      </c>
      <c r="S267" t="s">
        <v>1282</v>
      </c>
      <c r="V267" t="s">
        <v>59</v>
      </c>
      <c r="W267" t="s">
        <v>90</v>
      </c>
      <c r="X267" t="s">
        <v>61</v>
      </c>
      <c r="Y267" t="s">
        <v>47</v>
      </c>
      <c r="AA267" t="s">
        <v>1588</v>
      </c>
      <c r="AF267" t="s">
        <v>1589</v>
      </c>
      <c r="AI267" t="s">
        <v>1590</v>
      </c>
      <c r="AJ267" t="s">
        <v>68</v>
      </c>
      <c r="AK267" t="s">
        <v>248</v>
      </c>
      <c r="AL267" t="s">
        <v>70</v>
      </c>
      <c r="AM267">
        <v>20</v>
      </c>
      <c r="AN267">
        <v>2026</v>
      </c>
      <c r="AO267" t="s">
        <v>71</v>
      </c>
      <c r="AP267">
        <v>20</v>
      </c>
      <c r="AQ267" t="s">
        <v>71</v>
      </c>
    </row>
    <row r="268" spans="1:43" x14ac:dyDescent="0.25">
      <c r="A268">
        <v>267</v>
      </c>
      <c r="B268" t="s">
        <v>83</v>
      </c>
      <c r="C268" t="s">
        <v>1452</v>
      </c>
      <c r="D268" t="s">
        <v>1591</v>
      </c>
      <c r="E268" t="s">
        <v>1592</v>
      </c>
      <c r="F268" t="s">
        <v>47</v>
      </c>
      <c r="G268" t="s">
        <v>1593</v>
      </c>
      <c r="H268" t="s">
        <v>1594</v>
      </c>
      <c r="I268" t="s">
        <v>87</v>
      </c>
      <c r="J268" t="s">
        <v>51</v>
      </c>
      <c r="K268" s="2">
        <v>46224.370535682901</v>
      </c>
      <c r="L268" s="2">
        <v>46224.717543831001</v>
      </c>
      <c r="M268" t="s">
        <v>52</v>
      </c>
      <c r="N268" t="s">
        <v>53</v>
      </c>
      <c r="O268" t="s">
        <v>54</v>
      </c>
      <c r="P268" t="s">
        <v>55</v>
      </c>
      <c r="Q268" t="s">
        <v>126</v>
      </c>
      <c r="R268" t="s">
        <v>57</v>
      </c>
      <c r="S268" t="s">
        <v>58</v>
      </c>
      <c r="V268" t="s">
        <v>59</v>
      </c>
      <c r="W268" t="s">
        <v>90</v>
      </c>
      <c r="X268" t="s">
        <v>61</v>
      </c>
      <c r="Y268" t="s">
        <v>47</v>
      </c>
      <c r="Z268" t="s">
        <v>186</v>
      </c>
      <c r="AA268" t="s">
        <v>1595</v>
      </c>
      <c r="AB268">
        <v>192000000</v>
      </c>
      <c r="AC268" t="s">
        <v>58</v>
      </c>
      <c r="AD268" s="2">
        <v>46224</v>
      </c>
      <c r="AE268" t="s">
        <v>1596</v>
      </c>
      <c r="AF268" t="s">
        <v>92</v>
      </c>
      <c r="AG268" t="s">
        <v>66</v>
      </c>
      <c r="AI268" t="s">
        <v>179</v>
      </c>
      <c r="AJ268" t="s">
        <v>68</v>
      </c>
      <c r="AK268" t="s">
        <v>69</v>
      </c>
      <c r="AL268" t="s">
        <v>70</v>
      </c>
      <c r="AM268">
        <v>21</v>
      </c>
      <c r="AN268">
        <v>2026</v>
      </c>
      <c r="AO268" t="s">
        <v>71</v>
      </c>
      <c r="AP268">
        <v>21</v>
      </c>
      <c r="AQ268" t="s">
        <v>71</v>
      </c>
    </row>
    <row r="269" spans="1:43" x14ac:dyDescent="0.25">
      <c r="A269">
        <v>268</v>
      </c>
      <c r="B269" t="s">
        <v>83</v>
      </c>
      <c r="C269" t="s">
        <v>595</v>
      </c>
      <c r="D269" t="s">
        <v>1597</v>
      </c>
      <c r="E269" t="s">
        <v>1598</v>
      </c>
      <c r="F269" t="s">
        <v>47</v>
      </c>
      <c r="I269" t="s">
        <v>193</v>
      </c>
      <c r="J269" t="s">
        <v>51</v>
      </c>
      <c r="K269" s="2">
        <v>46224.442850115702</v>
      </c>
      <c r="L269" s="2">
        <v>46224.466485648103</v>
      </c>
      <c r="M269" t="s">
        <v>76</v>
      </c>
      <c r="N269" t="s">
        <v>77</v>
      </c>
      <c r="O269" t="s">
        <v>54</v>
      </c>
      <c r="P269" t="s">
        <v>598</v>
      </c>
      <c r="Q269" t="s">
        <v>296</v>
      </c>
      <c r="R269" t="s">
        <v>57</v>
      </c>
      <c r="S269" t="s">
        <v>68</v>
      </c>
      <c r="V269" t="s">
        <v>59</v>
      </c>
      <c r="W269" t="s">
        <v>90</v>
      </c>
      <c r="X269" t="s">
        <v>61</v>
      </c>
      <c r="Y269" t="s">
        <v>47</v>
      </c>
      <c r="AA269" t="s">
        <v>599</v>
      </c>
      <c r="AF269" t="s">
        <v>195</v>
      </c>
      <c r="AG269" t="s">
        <v>246</v>
      </c>
      <c r="AI269" t="s">
        <v>431</v>
      </c>
      <c r="AJ269" t="s">
        <v>68</v>
      </c>
      <c r="AK269" t="s">
        <v>82</v>
      </c>
      <c r="AL269" t="s">
        <v>70</v>
      </c>
      <c r="AM269">
        <v>21</v>
      </c>
      <c r="AN269">
        <v>2026</v>
      </c>
      <c r="AO269" t="s">
        <v>71</v>
      </c>
      <c r="AP269">
        <v>21</v>
      </c>
      <c r="AQ269" t="s">
        <v>71</v>
      </c>
    </row>
    <row r="270" spans="1:43" x14ac:dyDescent="0.25">
      <c r="A270">
        <v>269</v>
      </c>
      <c r="B270" t="s">
        <v>83</v>
      </c>
      <c r="C270" t="s">
        <v>1599</v>
      </c>
      <c r="D270" t="s">
        <v>1600</v>
      </c>
      <c r="E270" t="s">
        <v>1601</v>
      </c>
      <c r="F270" t="s">
        <v>47</v>
      </c>
      <c r="I270" t="s">
        <v>87</v>
      </c>
      <c r="K270" s="2">
        <v>46224.627861076398</v>
      </c>
      <c r="L270" s="2">
        <v>46232.333340428202</v>
      </c>
      <c r="M270" t="s">
        <v>76</v>
      </c>
      <c r="N270" t="s">
        <v>77</v>
      </c>
      <c r="O270" t="s">
        <v>54</v>
      </c>
      <c r="P270" t="s">
        <v>55</v>
      </c>
      <c r="Q270" t="s">
        <v>185</v>
      </c>
      <c r="S270" t="s">
        <v>68</v>
      </c>
      <c r="V270" t="s">
        <v>59</v>
      </c>
      <c r="W270" t="s">
        <v>90</v>
      </c>
      <c r="X270" t="s">
        <v>61</v>
      </c>
      <c r="Y270" t="s">
        <v>47</v>
      </c>
      <c r="AA270" t="s">
        <v>1602</v>
      </c>
      <c r="AF270" t="s">
        <v>92</v>
      </c>
      <c r="AI270" t="s">
        <v>1603</v>
      </c>
      <c r="AJ270" t="s">
        <v>68</v>
      </c>
      <c r="AK270" t="s">
        <v>82</v>
      </c>
      <c r="AL270" t="s">
        <v>70</v>
      </c>
      <c r="AM270">
        <v>21</v>
      </c>
      <c r="AN270">
        <v>2026</v>
      </c>
      <c r="AO270" t="s">
        <v>71</v>
      </c>
      <c r="AP270">
        <v>29</v>
      </c>
      <c r="AQ270" t="s">
        <v>71</v>
      </c>
    </row>
    <row r="271" spans="1:43" x14ac:dyDescent="0.25">
      <c r="A271">
        <v>270</v>
      </c>
      <c r="B271" t="s">
        <v>83</v>
      </c>
      <c r="C271" t="s">
        <v>1604</v>
      </c>
      <c r="D271" t="s">
        <v>1605</v>
      </c>
      <c r="E271" t="s">
        <v>1606</v>
      </c>
      <c r="F271" t="s">
        <v>47</v>
      </c>
      <c r="I271" t="s">
        <v>193</v>
      </c>
      <c r="K271" s="2">
        <v>46224.654473877301</v>
      </c>
      <c r="L271" s="2">
        <v>46232.333340428202</v>
      </c>
      <c r="M271" t="s">
        <v>76</v>
      </c>
      <c r="N271" t="s">
        <v>77</v>
      </c>
      <c r="O271" t="s">
        <v>54</v>
      </c>
      <c r="P271" t="s">
        <v>174</v>
      </c>
      <c r="Q271" t="s">
        <v>185</v>
      </c>
      <c r="S271" t="s">
        <v>68</v>
      </c>
      <c r="V271" t="s">
        <v>59</v>
      </c>
      <c r="W271" t="s">
        <v>90</v>
      </c>
      <c r="X271" t="s">
        <v>61</v>
      </c>
      <c r="Y271" t="s">
        <v>47</v>
      </c>
      <c r="AA271" t="s">
        <v>1607</v>
      </c>
      <c r="AF271" t="s">
        <v>195</v>
      </c>
      <c r="AI271" t="s">
        <v>1608</v>
      </c>
      <c r="AJ271" t="s">
        <v>68</v>
      </c>
      <c r="AK271" t="s">
        <v>82</v>
      </c>
      <c r="AL271" t="s">
        <v>70</v>
      </c>
      <c r="AM271">
        <v>21</v>
      </c>
      <c r="AN271">
        <v>2026</v>
      </c>
      <c r="AO271" t="s">
        <v>71</v>
      </c>
      <c r="AP271">
        <v>29</v>
      </c>
      <c r="AQ271" t="s">
        <v>71</v>
      </c>
    </row>
    <row r="272" spans="1:43" x14ac:dyDescent="0.25">
      <c r="A272">
        <v>271</v>
      </c>
      <c r="B272" t="s">
        <v>83</v>
      </c>
      <c r="C272" t="s">
        <v>1609</v>
      </c>
      <c r="D272" t="s">
        <v>1610</v>
      </c>
      <c r="E272" t="s">
        <v>1611</v>
      </c>
      <c r="F272" t="s">
        <v>47</v>
      </c>
      <c r="I272" t="s">
        <v>193</v>
      </c>
      <c r="K272" s="2">
        <v>46224.658134641199</v>
      </c>
      <c r="L272" s="2">
        <v>46224.671358067098</v>
      </c>
      <c r="M272" t="s">
        <v>76</v>
      </c>
      <c r="N272" t="s">
        <v>77</v>
      </c>
      <c r="O272" t="s">
        <v>54</v>
      </c>
      <c r="P272" t="s">
        <v>55</v>
      </c>
      <c r="Q272" t="s">
        <v>185</v>
      </c>
      <c r="R272" t="s">
        <v>57</v>
      </c>
      <c r="S272" t="s">
        <v>68</v>
      </c>
      <c r="V272" t="s">
        <v>59</v>
      </c>
      <c r="W272" t="s">
        <v>90</v>
      </c>
      <c r="X272" t="s">
        <v>61</v>
      </c>
      <c r="Y272" t="s">
        <v>47</v>
      </c>
      <c r="AA272" t="s">
        <v>1612</v>
      </c>
      <c r="AF272" t="s">
        <v>195</v>
      </c>
      <c r="AI272" t="s">
        <v>496</v>
      </c>
      <c r="AJ272" t="s">
        <v>68</v>
      </c>
      <c r="AK272" t="s">
        <v>82</v>
      </c>
      <c r="AL272" t="s">
        <v>70</v>
      </c>
      <c r="AM272">
        <v>21</v>
      </c>
      <c r="AN272">
        <v>2026</v>
      </c>
      <c r="AO272" t="s">
        <v>71</v>
      </c>
      <c r="AP272">
        <v>21</v>
      </c>
      <c r="AQ272" t="s">
        <v>71</v>
      </c>
    </row>
    <row r="273" spans="1:43" x14ac:dyDescent="0.25">
      <c r="A273">
        <v>272</v>
      </c>
      <c r="B273" t="s">
        <v>83</v>
      </c>
      <c r="C273" t="s">
        <v>1613</v>
      </c>
      <c r="D273" t="s">
        <v>1614</v>
      </c>
      <c r="E273" t="s">
        <v>1615</v>
      </c>
      <c r="F273" t="s">
        <v>47</v>
      </c>
      <c r="I273" t="s">
        <v>193</v>
      </c>
      <c r="K273" s="2">
        <v>46224.662919294002</v>
      </c>
      <c r="L273" s="2">
        <v>46232.333340428202</v>
      </c>
      <c r="M273" t="s">
        <v>76</v>
      </c>
      <c r="N273" t="s">
        <v>77</v>
      </c>
      <c r="O273" t="s">
        <v>54</v>
      </c>
      <c r="P273" t="s">
        <v>174</v>
      </c>
      <c r="Q273" t="s">
        <v>185</v>
      </c>
      <c r="S273" t="s">
        <v>68</v>
      </c>
      <c r="V273" t="s">
        <v>59</v>
      </c>
      <c r="W273" t="s">
        <v>90</v>
      </c>
      <c r="X273" t="s">
        <v>61</v>
      </c>
      <c r="Y273" t="s">
        <v>47</v>
      </c>
      <c r="AA273" t="s">
        <v>1616</v>
      </c>
      <c r="AF273" t="s">
        <v>195</v>
      </c>
      <c r="AI273" t="s">
        <v>323</v>
      </c>
      <c r="AJ273" t="s">
        <v>68</v>
      </c>
      <c r="AK273" t="s">
        <v>82</v>
      </c>
      <c r="AL273" t="s">
        <v>70</v>
      </c>
      <c r="AM273">
        <v>21</v>
      </c>
      <c r="AN273">
        <v>2026</v>
      </c>
      <c r="AO273" t="s">
        <v>71</v>
      </c>
      <c r="AP273">
        <v>29</v>
      </c>
      <c r="AQ273" t="s">
        <v>71</v>
      </c>
    </row>
    <row r="274" spans="1:43" x14ac:dyDescent="0.25">
      <c r="A274">
        <v>273</v>
      </c>
      <c r="B274" t="s">
        <v>83</v>
      </c>
      <c r="C274" t="s">
        <v>1617</v>
      </c>
      <c r="D274" t="s">
        <v>1618</v>
      </c>
      <c r="E274" t="s">
        <v>1619</v>
      </c>
      <c r="F274" t="s">
        <v>47</v>
      </c>
      <c r="G274" t="s">
        <v>1620</v>
      </c>
      <c r="H274" t="s">
        <v>1621</v>
      </c>
      <c r="I274" t="s">
        <v>87</v>
      </c>
      <c r="J274" t="s">
        <v>51</v>
      </c>
      <c r="K274" s="2">
        <v>46224.789760532403</v>
      </c>
      <c r="L274" s="2">
        <v>46226.3903545949</v>
      </c>
      <c r="M274" t="s">
        <v>52</v>
      </c>
      <c r="N274" t="s">
        <v>53</v>
      </c>
      <c r="O274" t="s">
        <v>54</v>
      </c>
      <c r="P274" t="s">
        <v>598</v>
      </c>
      <c r="Q274" t="s">
        <v>296</v>
      </c>
      <c r="R274" t="s">
        <v>57</v>
      </c>
      <c r="S274" t="s">
        <v>58</v>
      </c>
      <c r="V274" t="s">
        <v>59</v>
      </c>
      <c r="W274" t="s">
        <v>90</v>
      </c>
      <c r="X274" t="s">
        <v>61</v>
      </c>
      <c r="Y274" t="s">
        <v>47</v>
      </c>
      <c r="Z274" t="s">
        <v>114</v>
      </c>
      <c r="AA274" t="s">
        <v>599</v>
      </c>
      <c r="AB274">
        <v>68111000</v>
      </c>
      <c r="AC274" t="s">
        <v>58</v>
      </c>
      <c r="AD274" s="2">
        <v>46225</v>
      </c>
      <c r="AE274" t="s">
        <v>1622</v>
      </c>
      <c r="AF274" t="s">
        <v>92</v>
      </c>
      <c r="AG274" t="s">
        <v>66</v>
      </c>
      <c r="AI274" t="s">
        <v>431</v>
      </c>
      <c r="AJ274" t="s">
        <v>68</v>
      </c>
      <c r="AK274" t="s">
        <v>69</v>
      </c>
      <c r="AL274" t="s">
        <v>70</v>
      </c>
      <c r="AM274">
        <v>21</v>
      </c>
      <c r="AN274">
        <v>2026</v>
      </c>
      <c r="AO274" t="s">
        <v>71</v>
      </c>
      <c r="AP274">
        <v>23</v>
      </c>
      <c r="AQ274" t="s">
        <v>71</v>
      </c>
    </row>
    <row r="275" spans="1:43" x14ac:dyDescent="0.25">
      <c r="A275">
        <v>274</v>
      </c>
      <c r="B275" t="s">
        <v>106</v>
      </c>
      <c r="C275" t="s">
        <v>1623</v>
      </c>
      <c r="D275" t="s">
        <v>1624</v>
      </c>
      <c r="E275" t="s">
        <v>1625</v>
      </c>
      <c r="F275" t="s">
        <v>274</v>
      </c>
      <c r="G275" t="s">
        <v>1626</v>
      </c>
      <c r="H275" t="s">
        <v>1627</v>
      </c>
      <c r="I275" t="s">
        <v>112</v>
      </c>
      <c r="J275" t="s">
        <v>51</v>
      </c>
      <c r="K275" s="2">
        <v>46224.449463773097</v>
      </c>
      <c r="L275" s="2">
        <v>46225.699963275503</v>
      </c>
      <c r="M275" t="s">
        <v>52</v>
      </c>
      <c r="N275" t="s">
        <v>53</v>
      </c>
      <c r="O275" t="s">
        <v>54</v>
      </c>
      <c r="P275" t="s">
        <v>174</v>
      </c>
      <c r="Q275" t="s">
        <v>79</v>
      </c>
      <c r="R275" t="s">
        <v>57</v>
      </c>
      <c r="S275" t="s">
        <v>58</v>
      </c>
      <c r="V275" t="s">
        <v>59</v>
      </c>
      <c r="W275" t="s">
        <v>60</v>
      </c>
      <c r="X275" t="s">
        <v>61</v>
      </c>
      <c r="Y275" t="s">
        <v>274</v>
      </c>
      <c r="Z275" t="s">
        <v>482</v>
      </c>
      <c r="AA275" t="s">
        <v>1628</v>
      </c>
      <c r="AB275">
        <v>74235100</v>
      </c>
      <c r="AC275" t="s">
        <v>58</v>
      </c>
      <c r="AD275" s="2">
        <v>46225</v>
      </c>
      <c r="AE275" t="s">
        <v>1629</v>
      </c>
      <c r="AF275" t="s">
        <v>117</v>
      </c>
      <c r="AG275" t="s">
        <v>66</v>
      </c>
      <c r="AK275" t="s">
        <v>69</v>
      </c>
      <c r="AL275" t="s">
        <v>277</v>
      </c>
      <c r="AM275">
        <v>21</v>
      </c>
      <c r="AN275">
        <v>2026</v>
      </c>
      <c r="AO275" t="s">
        <v>71</v>
      </c>
      <c r="AP275">
        <v>22</v>
      </c>
      <c r="AQ275" t="s">
        <v>71</v>
      </c>
    </row>
    <row r="276" spans="1:43" x14ac:dyDescent="0.25">
      <c r="A276">
        <v>275</v>
      </c>
      <c r="B276" t="s">
        <v>345</v>
      </c>
      <c r="C276" t="s">
        <v>1630</v>
      </c>
      <c r="D276" t="s">
        <v>1631</v>
      </c>
      <c r="E276" t="s">
        <v>1632</v>
      </c>
      <c r="F276" t="s">
        <v>47</v>
      </c>
      <c r="I276" t="s">
        <v>351</v>
      </c>
      <c r="K276" s="2">
        <v>46224.417100775499</v>
      </c>
      <c r="L276" s="2">
        <v>46224.445618321799</v>
      </c>
      <c r="M276" t="s">
        <v>76</v>
      </c>
      <c r="N276" t="s">
        <v>77</v>
      </c>
      <c r="O276" t="s">
        <v>54</v>
      </c>
      <c r="P276" t="s">
        <v>174</v>
      </c>
      <c r="Q276" t="s">
        <v>185</v>
      </c>
      <c r="R276" t="s">
        <v>57</v>
      </c>
      <c r="S276" t="s">
        <v>68</v>
      </c>
      <c r="V276" t="s">
        <v>59</v>
      </c>
      <c r="W276" t="s">
        <v>90</v>
      </c>
      <c r="X276" t="s">
        <v>61</v>
      </c>
      <c r="Y276" t="s">
        <v>47</v>
      </c>
      <c r="AA276" t="s">
        <v>1633</v>
      </c>
      <c r="AF276" t="s">
        <v>65</v>
      </c>
      <c r="AI276" t="s">
        <v>1634</v>
      </c>
      <c r="AJ276" t="s">
        <v>68</v>
      </c>
      <c r="AK276" t="s">
        <v>82</v>
      </c>
      <c r="AL276" t="s">
        <v>70</v>
      </c>
      <c r="AM276">
        <v>21</v>
      </c>
      <c r="AN276">
        <v>2026</v>
      </c>
      <c r="AO276" t="s">
        <v>71</v>
      </c>
      <c r="AP276">
        <v>21</v>
      </c>
      <c r="AQ276" t="s">
        <v>71</v>
      </c>
    </row>
    <row r="277" spans="1:43" x14ac:dyDescent="0.25">
      <c r="A277">
        <v>276</v>
      </c>
      <c r="B277" t="s">
        <v>345</v>
      </c>
      <c r="C277" t="s">
        <v>1635</v>
      </c>
      <c r="D277" t="s">
        <v>1636</v>
      </c>
      <c r="E277" t="s">
        <v>1637</v>
      </c>
      <c r="F277" t="s">
        <v>47</v>
      </c>
      <c r="I277" t="s">
        <v>435</v>
      </c>
      <c r="K277" s="2">
        <v>46224.599624421302</v>
      </c>
      <c r="L277" s="2">
        <v>46237.333353668997</v>
      </c>
      <c r="M277" t="s">
        <v>76</v>
      </c>
      <c r="N277" t="s">
        <v>77</v>
      </c>
      <c r="O277" t="s">
        <v>54</v>
      </c>
      <c r="P277" t="s">
        <v>88</v>
      </c>
      <c r="Q277" t="s">
        <v>535</v>
      </c>
      <c r="S277" t="s">
        <v>68</v>
      </c>
      <c r="V277" t="s">
        <v>59</v>
      </c>
      <c r="W277" t="s">
        <v>90</v>
      </c>
      <c r="X277" t="s">
        <v>61</v>
      </c>
      <c r="Y277" t="s">
        <v>47</v>
      </c>
      <c r="AA277" t="s">
        <v>1640</v>
      </c>
      <c r="AF277" t="s">
        <v>437</v>
      </c>
      <c r="AI277" t="s">
        <v>744</v>
      </c>
      <c r="AJ277" t="s">
        <v>68</v>
      </c>
      <c r="AK277" t="s">
        <v>82</v>
      </c>
      <c r="AL277" t="s">
        <v>70</v>
      </c>
      <c r="AM277">
        <v>21</v>
      </c>
      <c r="AN277">
        <v>2026</v>
      </c>
      <c r="AO277" t="s">
        <v>71</v>
      </c>
      <c r="AP277">
        <v>3</v>
      </c>
      <c r="AQ277" t="s">
        <v>2589</v>
      </c>
    </row>
    <row r="278" spans="1:43" x14ac:dyDescent="0.25">
      <c r="A278">
        <v>277</v>
      </c>
      <c r="B278" t="s">
        <v>345</v>
      </c>
      <c r="C278" t="s">
        <v>1642</v>
      </c>
      <c r="D278" t="s">
        <v>1643</v>
      </c>
      <c r="E278" t="s">
        <v>1644</v>
      </c>
      <c r="F278" t="s">
        <v>47</v>
      </c>
      <c r="I278" t="s">
        <v>351</v>
      </c>
      <c r="K278" s="2">
        <v>46224.631578125001</v>
      </c>
      <c r="L278" s="2">
        <v>46224.643419409702</v>
      </c>
      <c r="M278" t="s">
        <v>76</v>
      </c>
      <c r="N278" t="s">
        <v>77</v>
      </c>
      <c r="O278" t="s">
        <v>54</v>
      </c>
      <c r="P278" t="s">
        <v>1010</v>
      </c>
      <c r="Q278" t="s">
        <v>56</v>
      </c>
      <c r="R278" t="s">
        <v>57</v>
      </c>
      <c r="S278" t="s">
        <v>68</v>
      </c>
      <c r="V278" t="s">
        <v>59</v>
      </c>
      <c r="W278" t="s">
        <v>90</v>
      </c>
      <c r="X278" t="s">
        <v>61</v>
      </c>
      <c r="Y278" t="s">
        <v>47</v>
      </c>
      <c r="AA278" t="s">
        <v>1645</v>
      </c>
      <c r="AF278" t="s">
        <v>65</v>
      </c>
      <c r="AI278" t="s">
        <v>1646</v>
      </c>
      <c r="AJ278" t="s">
        <v>68</v>
      </c>
      <c r="AK278" t="s">
        <v>82</v>
      </c>
      <c r="AL278" t="s">
        <v>70</v>
      </c>
      <c r="AM278">
        <v>21</v>
      </c>
      <c r="AN278">
        <v>2026</v>
      </c>
      <c r="AO278" t="s">
        <v>71</v>
      </c>
      <c r="AP278">
        <v>21</v>
      </c>
      <c r="AQ278" t="s">
        <v>71</v>
      </c>
    </row>
    <row r="279" spans="1:43" x14ac:dyDescent="0.25">
      <c r="A279">
        <v>278</v>
      </c>
      <c r="B279" t="s">
        <v>1073</v>
      </c>
      <c r="C279" t="s">
        <v>1647</v>
      </c>
      <c r="D279" t="s">
        <v>1648</v>
      </c>
      <c r="E279" t="s">
        <v>1649</v>
      </c>
      <c r="F279" t="s">
        <v>47</v>
      </c>
      <c r="I279" t="s">
        <v>1268</v>
      </c>
      <c r="K279" s="2">
        <v>46224.435584687497</v>
      </c>
      <c r="L279" s="2">
        <v>46232.333340428202</v>
      </c>
      <c r="M279" t="s">
        <v>76</v>
      </c>
      <c r="N279" t="s">
        <v>77</v>
      </c>
      <c r="O279" t="s">
        <v>54</v>
      </c>
      <c r="P279" t="s">
        <v>174</v>
      </c>
      <c r="Q279" t="s">
        <v>89</v>
      </c>
      <c r="S279" t="s">
        <v>68</v>
      </c>
      <c r="V279" t="s">
        <v>59</v>
      </c>
      <c r="W279" t="s">
        <v>60</v>
      </c>
      <c r="X279" t="s">
        <v>61</v>
      </c>
      <c r="Y279" t="s">
        <v>47</v>
      </c>
      <c r="AA279" t="s">
        <v>1650</v>
      </c>
      <c r="AF279" t="s">
        <v>117</v>
      </c>
      <c r="AI279" t="s">
        <v>1421</v>
      </c>
      <c r="AJ279" t="s">
        <v>68</v>
      </c>
      <c r="AK279" t="s">
        <v>82</v>
      </c>
      <c r="AL279" t="s">
        <v>70</v>
      </c>
      <c r="AM279">
        <v>21</v>
      </c>
      <c r="AN279">
        <v>2026</v>
      </c>
      <c r="AO279" t="s">
        <v>71</v>
      </c>
      <c r="AP279">
        <v>29</v>
      </c>
      <c r="AQ279" t="s">
        <v>71</v>
      </c>
    </row>
    <row r="280" spans="1:43" x14ac:dyDescent="0.25">
      <c r="A280">
        <v>279</v>
      </c>
      <c r="B280" t="s">
        <v>1073</v>
      </c>
      <c r="C280" t="s">
        <v>1651</v>
      </c>
      <c r="D280" t="s">
        <v>1652</v>
      </c>
      <c r="E280" t="s">
        <v>1653</v>
      </c>
      <c r="F280" t="s">
        <v>47</v>
      </c>
      <c r="I280" t="s">
        <v>1268</v>
      </c>
      <c r="K280" s="2">
        <v>46224.447655358803</v>
      </c>
      <c r="L280" s="2">
        <v>46224.466500844901</v>
      </c>
      <c r="M280" t="s">
        <v>76</v>
      </c>
      <c r="N280" t="s">
        <v>77</v>
      </c>
      <c r="O280" t="s">
        <v>54</v>
      </c>
      <c r="P280" t="s">
        <v>55</v>
      </c>
      <c r="Q280" t="s">
        <v>113</v>
      </c>
      <c r="R280" t="s">
        <v>57</v>
      </c>
      <c r="S280" t="s">
        <v>68</v>
      </c>
      <c r="V280" t="s">
        <v>59</v>
      </c>
      <c r="W280" t="s">
        <v>60</v>
      </c>
      <c r="X280" t="s">
        <v>61</v>
      </c>
      <c r="Y280" t="s">
        <v>47</v>
      </c>
      <c r="AA280" t="s">
        <v>1654</v>
      </c>
      <c r="AF280" t="s">
        <v>1655</v>
      </c>
      <c r="AI280" t="s">
        <v>1656</v>
      </c>
      <c r="AJ280" t="s">
        <v>68</v>
      </c>
      <c r="AK280" t="s">
        <v>82</v>
      </c>
      <c r="AL280" t="s">
        <v>70</v>
      </c>
      <c r="AM280">
        <v>21</v>
      </c>
      <c r="AN280">
        <v>2026</v>
      </c>
      <c r="AO280" t="s">
        <v>71</v>
      </c>
      <c r="AP280">
        <v>21</v>
      </c>
      <c r="AQ280" t="s">
        <v>71</v>
      </c>
    </row>
    <row r="281" spans="1:43" x14ac:dyDescent="0.25">
      <c r="A281">
        <v>280</v>
      </c>
      <c r="B281" t="s">
        <v>129</v>
      </c>
      <c r="C281" t="s">
        <v>1657</v>
      </c>
      <c r="D281" t="s">
        <v>1658</v>
      </c>
      <c r="E281" t="s">
        <v>1659</v>
      </c>
      <c r="F281" t="s">
        <v>47</v>
      </c>
      <c r="I281" t="s">
        <v>133</v>
      </c>
      <c r="K281" s="2">
        <v>46224.583949918997</v>
      </c>
      <c r="L281" s="2">
        <v>46224.591058993101</v>
      </c>
      <c r="M281" t="s">
        <v>1433</v>
      </c>
      <c r="N281" t="s">
        <v>1434</v>
      </c>
      <c r="O281" t="s">
        <v>54</v>
      </c>
      <c r="P281" t="s">
        <v>160</v>
      </c>
      <c r="Q281" t="s">
        <v>405</v>
      </c>
      <c r="R281" t="s">
        <v>57</v>
      </c>
      <c r="S281" t="s">
        <v>1282</v>
      </c>
      <c r="V281" t="s">
        <v>59</v>
      </c>
      <c r="W281" t="s">
        <v>60</v>
      </c>
      <c r="X281" t="s">
        <v>61</v>
      </c>
      <c r="Y281" t="s">
        <v>47</v>
      </c>
      <c r="AA281" t="s">
        <v>1660</v>
      </c>
      <c r="AF281" t="s">
        <v>117</v>
      </c>
      <c r="AI281" t="s">
        <v>1092</v>
      </c>
      <c r="AJ281" t="s">
        <v>68</v>
      </c>
      <c r="AK281" t="s">
        <v>248</v>
      </c>
      <c r="AL281" t="s">
        <v>70</v>
      </c>
      <c r="AM281">
        <v>21</v>
      </c>
      <c r="AN281">
        <v>2026</v>
      </c>
      <c r="AO281" t="s">
        <v>71</v>
      </c>
      <c r="AP281">
        <v>21</v>
      </c>
      <c r="AQ281" t="s">
        <v>71</v>
      </c>
    </row>
    <row r="282" spans="1:43" x14ac:dyDescent="0.25">
      <c r="A282">
        <v>281</v>
      </c>
      <c r="B282" t="s">
        <v>229</v>
      </c>
      <c r="C282" t="s">
        <v>1661</v>
      </c>
      <c r="D282" t="s">
        <v>1662</v>
      </c>
      <c r="E282" t="s">
        <v>1663</v>
      </c>
      <c r="F282" t="s">
        <v>47</v>
      </c>
      <c r="H282" t="s">
        <v>1664</v>
      </c>
      <c r="I282" t="s">
        <v>233</v>
      </c>
      <c r="J282" t="s">
        <v>51</v>
      </c>
      <c r="K282" s="2">
        <v>46224.418188425901</v>
      </c>
      <c r="L282" s="2">
        <v>46231.512245138903</v>
      </c>
      <c r="M282" t="s">
        <v>241</v>
      </c>
      <c r="N282" t="s">
        <v>242</v>
      </c>
      <c r="O282" t="s">
        <v>54</v>
      </c>
      <c r="P282" t="s">
        <v>55</v>
      </c>
      <c r="Q282" t="s">
        <v>535</v>
      </c>
      <c r="R282" t="s">
        <v>243</v>
      </c>
      <c r="S282" t="s">
        <v>481</v>
      </c>
      <c r="V282" t="s">
        <v>59</v>
      </c>
      <c r="W282" t="s">
        <v>90</v>
      </c>
      <c r="X282" t="s">
        <v>61</v>
      </c>
      <c r="Y282" t="s">
        <v>47</v>
      </c>
      <c r="Z282" t="s">
        <v>186</v>
      </c>
      <c r="AA282" t="s">
        <v>536</v>
      </c>
      <c r="AC282" t="s">
        <v>481</v>
      </c>
      <c r="AD282" s="2">
        <v>46230</v>
      </c>
      <c r="AE282" t="s">
        <v>245</v>
      </c>
      <c r="AF282" t="s">
        <v>245</v>
      </c>
      <c r="AG282" t="s">
        <v>246</v>
      </c>
      <c r="AI282" t="s">
        <v>1665</v>
      </c>
      <c r="AJ282" t="s">
        <v>68</v>
      </c>
      <c r="AK282" t="s">
        <v>248</v>
      </c>
      <c r="AL282" t="s">
        <v>70</v>
      </c>
      <c r="AM282">
        <v>21</v>
      </c>
      <c r="AN282">
        <v>2026</v>
      </c>
      <c r="AO282" t="s">
        <v>71</v>
      </c>
      <c r="AP282">
        <v>28</v>
      </c>
      <c r="AQ282" t="s">
        <v>71</v>
      </c>
    </row>
    <row r="283" spans="1:43" x14ac:dyDescent="0.25">
      <c r="A283">
        <v>282</v>
      </c>
      <c r="B283" t="s">
        <v>249</v>
      </c>
      <c r="C283" t="s">
        <v>1666</v>
      </c>
      <c r="D283" t="s">
        <v>1667</v>
      </c>
      <c r="E283" t="s">
        <v>1668</v>
      </c>
      <c r="F283" t="s">
        <v>47</v>
      </c>
      <c r="I283" t="s">
        <v>254</v>
      </c>
      <c r="K283" s="2">
        <v>46224.4105815972</v>
      </c>
      <c r="L283" s="2">
        <v>46224.431943553202</v>
      </c>
      <c r="M283" t="s">
        <v>76</v>
      </c>
      <c r="N283" t="s">
        <v>77</v>
      </c>
      <c r="O283" t="s">
        <v>54</v>
      </c>
      <c r="P283" t="s">
        <v>55</v>
      </c>
      <c r="Q283" t="s">
        <v>161</v>
      </c>
      <c r="R283" t="s">
        <v>57</v>
      </c>
      <c r="S283" t="s">
        <v>68</v>
      </c>
      <c r="V283" t="s">
        <v>59</v>
      </c>
      <c r="W283" t="s">
        <v>90</v>
      </c>
      <c r="X283" t="s">
        <v>61</v>
      </c>
      <c r="Y283" t="s">
        <v>47</v>
      </c>
      <c r="AA283" t="s">
        <v>1669</v>
      </c>
      <c r="AF283" t="s">
        <v>92</v>
      </c>
      <c r="AI283" t="s">
        <v>1670</v>
      </c>
      <c r="AJ283" t="s">
        <v>68</v>
      </c>
      <c r="AK283" t="s">
        <v>82</v>
      </c>
      <c r="AL283" t="s">
        <v>70</v>
      </c>
      <c r="AM283">
        <v>21</v>
      </c>
      <c r="AN283">
        <v>2026</v>
      </c>
      <c r="AO283" t="s">
        <v>71</v>
      </c>
      <c r="AP283">
        <v>21</v>
      </c>
      <c r="AQ283" t="s">
        <v>71</v>
      </c>
    </row>
    <row r="284" spans="1:43" x14ac:dyDescent="0.25">
      <c r="A284">
        <v>283</v>
      </c>
      <c r="B284" t="s">
        <v>263</v>
      </c>
      <c r="C284" t="s">
        <v>1671</v>
      </c>
      <c r="D284" t="s">
        <v>1672</v>
      </c>
      <c r="E284" t="s">
        <v>1673</v>
      </c>
      <c r="F284" t="s">
        <v>47</v>
      </c>
      <c r="I284" t="s">
        <v>267</v>
      </c>
      <c r="K284" s="2">
        <v>46224.669417013902</v>
      </c>
      <c r="L284" s="2">
        <v>46224.680919791703</v>
      </c>
      <c r="M284" t="s">
        <v>76</v>
      </c>
      <c r="N284" t="s">
        <v>77</v>
      </c>
      <c r="O284" t="s">
        <v>54</v>
      </c>
      <c r="P284" t="s">
        <v>55</v>
      </c>
      <c r="Q284" t="s">
        <v>147</v>
      </c>
      <c r="R284" t="s">
        <v>57</v>
      </c>
      <c r="S284" t="s">
        <v>68</v>
      </c>
      <c r="V284" t="s">
        <v>59</v>
      </c>
      <c r="W284" t="s">
        <v>90</v>
      </c>
      <c r="X284" t="s">
        <v>61</v>
      </c>
      <c r="Y284" t="s">
        <v>47</v>
      </c>
      <c r="AA284" t="s">
        <v>1674</v>
      </c>
      <c r="AF284" t="s">
        <v>92</v>
      </c>
      <c r="AI284" t="s">
        <v>771</v>
      </c>
      <c r="AJ284" t="s">
        <v>68</v>
      </c>
      <c r="AK284" t="s">
        <v>82</v>
      </c>
      <c r="AL284" t="s">
        <v>70</v>
      </c>
      <c r="AM284">
        <v>21</v>
      </c>
      <c r="AN284">
        <v>2026</v>
      </c>
      <c r="AO284" t="s">
        <v>71</v>
      </c>
      <c r="AP284">
        <v>21</v>
      </c>
      <c r="AQ284" t="s">
        <v>71</v>
      </c>
    </row>
    <row r="285" spans="1:43" x14ac:dyDescent="0.25">
      <c r="A285">
        <v>284</v>
      </c>
      <c r="B285" t="s">
        <v>464</v>
      </c>
      <c r="C285" t="s">
        <v>1675</v>
      </c>
      <c r="D285" t="s">
        <v>1676</v>
      </c>
      <c r="E285" t="s">
        <v>1677</v>
      </c>
      <c r="F285" t="s">
        <v>47</v>
      </c>
      <c r="H285" t="s">
        <v>1678</v>
      </c>
      <c r="I285" t="s">
        <v>275</v>
      </c>
      <c r="J285" t="s">
        <v>295</v>
      </c>
      <c r="K285" s="2">
        <v>46224.484281712997</v>
      </c>
      <c r="L285" s="2">
        <v>46226.652857789399</v>
      </c>
      <c r="M285" t="s">
        <v>241</v>
      </c>
      <c r="N285" t="s">
        <v>242</v>
      </c>
      <c r="O285" t="s">
        <v>54</v>
      </c>
      <c r="P285" t="s">
        <v>160</v>
      </c>
      <c r="Q285" t="s">
        <v>89</v>
      </c>
      <c r="R285" t="s">
        <v>57</v>
      </c>
      <c r="S285" t="s">
        <v>58</v>
      </c>
      <c r="V285" t="s">
        <v>59</v>
      </c>
      <c r="X285" t="s">
        <v>61</v>
      </c>
      <c r="Y285" t="s">
        <v>47</v>
      </c>
      <c r="Z285" t="s">
        <v>953</v>
      </c>
      <c r="AA285" t="s">
        <v>1210</v>
      </c>
      <c r="AC285" t="s">
        <v>58</v>
      </c>
      <c r="AD285" s="2">
        <v>46226</v>
      </c>
      <c r="AE285" t="s">
        <v>437</v>
      </c>
      <c r="AF285" t="s">
        <v>1655</v>
      </c>
      <c r="AG285" t="s">
        <v>365</v>
      </c>
      <c r="AI285" t="s">
        <v>470</v>
      </c>
      <c r="AJ285" t="s">
        <v>68</v>
      </c>
      <c r="AK285" t="s">
        <v>248</v>
      </c>
      <c r="AL285" t="s">
        <v>70</v>
      </c>
      <c r="AM285">
        <v>21</v>
      </c>
      <c r="AN285">
        <v>2026</v>
      </c>
      <c r="AO285" t="s">
        <v>71</v>
      </c>
      <c r="AP285">
        <v>23</v>
      </c>
      <c r="AQ285" t="s">
        <v>71</v>
      </c>
    </row>
    <row r="286" spans="1:43" x14ac:dyDescent="0.25">
      <c r="A286">
        <v>285</v>
      </c>
      <c r="B286" t="s">
        <v>43</v>
      </c>
      <c r="C286" t="s">
        <v>1679</v>
      </c>
      <c r="D286" t="s">
        <v>1680</v>
      </c>
      <c r="E286" t="s">
        <v>1681</v>
      </c>
      <c r="F286" t="s">
        <v>47</v>
      </c>
      <c r="G286" t="s">
        <v>1682</v>
      </c>
      <c r="H286" t="s">
        <v>1683</v>
      </c>
      <c r="I286" t="s">
        <v>50</v>
      </c>
      <c r="J286" t="s">
        <v>51</v>
      </c>
      <c r="K286" s="2">
        <v>46225.394293286998</v>
      </c>
      <c r="L286" s="2">
        <v>46227.382085532401</v>
      </c>
      <c r="M286" t="s">
        <v>52</v>
      </c>
      <c r="N286" t="s">
        <v>53</v>
      </c>
      <c r="O286" t="s">
        <v>54</v>
      </c>
      <c r="P286" t="s">
        <v>1684</v>
      </c>
      <c r="Q286" t="s">
        <v>405</v>
      </c>
      <c r="R286" t="s">
        <v>57</v>
      </c>
      <c r="S286" t="s">
        <v>58</v>
      </c>
      <c r="V286" t="s">
        <v>59</v>
      </c>
      <c r="W286" t="s">
        <v>60</v>
      </c>
      <c r="X286" t="s">
        <v>61</v>
      </c>
      <c r="Y286" t="s">
        <v>47</v>
      </c>
      <c r="Z286" t="s">
        <v>114</v>
      </c>
      <c r="AA286" t="s">
        <v>1685</v>
      </c>
      <c r="AB286">
        <v>57375000</v>
      </c>
      <c r="AC286" t="s">
        <v>58</v>
      </c>
      <c r="AD286" s="2">
        <v>46226</v>
      </c>
      <c r="AE286" t="s">
        <v>1686</v>
      </c>
      <c r="AF286" t="s">
        <v>1686</v>
      </c>
      <c r="AG286" t="s">
        <v>66</v>
      </c>
      <c r="AI286" t="s">
        <v>67</v>
      </c>
      <c r="AJ286" t="s">
        <v>68</v>
      </c>
      <c r="AK286" t="s">
        <v>69</v>
      </c>
      <c r="AL286" t="s">
        <v>70</v>
      </c>
      <c r="AM286">
        <v>22</v>
      </c>
      <c r="AN286">
        <v>2026</v>
      </c>
      <c r="AO286" t="s">
        <v>71</v>
      </c>
      <c r="AP286">
        <v>24</v>
      </c>
      <c r="AQ286" t="s">
        <v>71</v>
      </c>
    </row>
    <row r="287" spans="1:43" x14ac:dyDescent="0.25">
      <c r="A287">
        <v>286</v>
      </c>
      <c r="B287" t="s">
        <v>83</v>
      </c>
      <c r="C287" t="s">
        <v>1687</v>
      </c>
      <c r="D287" t="s">
        <v>1688</v>
      </c>
      <c r="E287" t="s">
        <v>1689</v>
      </c>
      <c r="F287" t="s">
        <v>47</v>
      </c>
      <c r="H287" t="s">
        <v>1690</v>
      </c>
      <c r="I287" t="s">
        <v>193</v>
      </c>
      <c r="J287" t="s">
        <v>295</v>
      </c>
      <c r="K287" s="2">
        <v>46225.599658298597</v>
      </c>
      <c r="L287" s="2">
        <v>46230.787534340299</v>
      </c>
      <c r="M287" t="s">
        <v>241</v>
      </c>
      <c r="N287" t="s">
        <v>242</v>
      </c>
      <c r="O287" t="s">
        <v>54</v>
      </c>
      <c r="P287" t="s">
        <v>55</v>
      </c>
      <c r="Q287" t="s">
        <v>185</v>
      </c>
      <c r="R287" t="s">
        <v>306</v>
      </c>
      <c r="S287" t="s">
        <v>58</v>
      </c>
      <c r="V287" t="s">
        <v>59</v>
      </c>
      <c r="W287" t="s">
        <v>90</v>
      </c>
      <c r="X287" t="s">
        <v>61</v>
      </c>
      <c r="Y287" t="s">
        <v>47</v>
      </c>
      <c r="Z287" t="s">
        <v>186</v>
      </c>
      <c r="AA287" t="s">
        <v>1691</v>
      </c>
      <c r="AC287" t="s">
        <v>58</v>
      </c>
      <c r="AD287" s="2">
        <v>46227</v>
      </c>
      <c r="AE287" t="s">
        <v>495</v>
      </c>
      <c r="AF287" t="s">
        <v>195</v>
      </c>
      <c r="AG287" t="s">
        <v>365</v>
      </c>
      <c r="AI287" t="s">
        <v>328</v>
      </c>
      <c r="AJ287" t="s">
        <v>68</v>
      </c>
      <c r="AK287" t="s">
        <v>248</v>
      </c>
      <c r="AL287" t="s">
        <v>70</v>
      </c>
      <c r="AM287">
        <v>22</v>
      </c>
      <c r="AN287">
        <v>2026</v>
      </c>
      <c r="AO287" t="s">
        <v>71</v>
      </c>
      <c r="AP287">
        <v>27</v>
      </c>
      <c r="AQ287" t="s">
        <v>71</v>
      </c>
    </row>
    <row r="288" spans="1:43" x14ac:dyDescent="0.25">
      <c r="A288">
        <v>287</v>
      </c>
      <c r="B288" t="s">
        <v>83</v>
      </c>
      <c r="C288" t="s">
        <v>1692</v>
      </c>
      <c r="D288" t="s">
        <v>1693</v>
      </c>
      <c r="E288" t="s">
        <v>1694</v>
      </c>
      <c r="F288" t="s">
        <v>47</v>
      </c>
      <c r="I288" t="s">
        <v>193</v>
      </c>
      <c r="K288" s="2">
        <v>46225.603782256898</v>
      </c>
      <c r="L288" s="2">
        <v>46233.333346608801</v>
      </c>
      <c r="M288" t="s">
        <v>76</v>
      </c>
      <c r="N288" t="s">
        <v>77</v>
      </c>
      <c r="O288" t="s">
        <v>54</v>
      </c>
      <c r="P288" t="s">
        <v>88</v>
      </c>
      <c r="Q288" t="s">
        <v>161</v>
      </c>
      <c r="S288" t="s">
        <v>68</v>
      </c>
      <c r="V288" t="s">
        <v>59</v>
      </c>
      <c r="W288" t="s">
        <v>90</v>
      </c>
      <c r="X288" t="s">
        <v>61</v>
      </c>
      <c r="Y288" t="s">
        <v>47</v>
      </c>
      <c r="AA288" t="s">
        <v>1695</v>
      </c>
      <c r="AF288" t="s">
        <v>195</v>
      </c>
      <c r="AI288" t="s">
        <v>323</v>
      </c>
      <c r="AJ288" t="s">
        <v>68</v>
      </c>
      <c r="AK288" t="s">
        <v>82</v>
      </c>
      <c r="AL288" t="s">
        <v>70</v>
      </c>
      <c r="AM288">
        <v>22</v>
      </c>
      <c r="AN288">
        <v>2026</v>
      </c>
      <c r="AO288" t="s">
        <v>71</v>
      </c>
      <c r="AP288">
        <v>30</v>
      </c>
      <c r="AQ288" t="s">
        <v>71</v>
      </c>
    </row>
    <row r="289" spans="1:43" x14ac:dyDescent="0.25">
      <c r="A289">
        <v>288</v>
      </c>
      <c r="B289" t="s">
        <v>83</v>
      </c>
      <c r="C289" t="s">
        <v>1696</v>
      </c>
      <c r="D289" t="s">
        <v>1697</v>
      </c>
      <c r="E289" t="s">
        <v>1698</v>
      </c>
      <c r="F289" t="s">
        <v>47</v>
      </c>
      <c r="I289" t="s">
        <v>193</v>
      </c>
      <c r="K289" s="2">
        <v>46225.757089548599</v>
      </c>
      <c r="L289" s="2">
        <v>46233.333346608801</v>
      </c>
      <c r="M289" t="s">
        <v>76</v>
      </c>
      <c r="N289" t="s">
        <v>77</v>
      </c>
      <c r="O289" t="s">
        <v>54</v>
      </c>
      <c r="P289" t="s">
        <v>55</v>
      </c>
      <c r="Q289" t="s">
        <v>175</v>
      </c>
      <c r="S289" t="s">
        <v>68</v>
      </c>
      <c r="V289" t="s">
        <v>59</v>
      </c>
      <c r="W289" t="s">
        <v>90</v>
      </c>
      <c r="X289" t="s">
        <v>61</v>
      </c>
      <c r="Y289" t="s">
        <v>47</v>
      </c>
      <c r="AA289" t="s">
        <v>1699</v>
      </c>
      <c r="AF289" t="s">
        <v>195</v>
      </c>
      <c r="AI289" t="s">
        <v>1700</v>
      </c>
      <c r="AJ289" t="s">
        <v>68</v>
      </c>
      <c r="AK289" t="s">
        <v>82</v>
      </c>
      <c r="AL289" t="s">
        <v>70</v>
      </c>
      <c r="AM289">
        <v>22</v>
      </c>
      <c r="AN289">
        <v>2026</v>
      </c>
      <c r="AO289" t="s">
        <v>71</v>
      </c>
      <c r="AP289">
        <v>30</v>
      </c>
      <c r="AQ289" t="s">
        <v>71</v>
      </c>
    </row>
    <row r="290" spans="1:43" x14ac:dyDescent="0.25">
      <c r="A290">
        <v>289</v>
      </c>
      <c r="B290" t="s">
        <v>106</v>
      </c>
      <c r="C290" t="s">
        <v>1701</v>
      </c>
      <c r="D290" t="s">
        <v>1702</v>
      </c>
      <c r="E290" t="s">
        <v>1703</v>
      </c>
      <c r="F290" t="s">
        <v>47</v>
      </c>
      <c r="I290" t="s">
        <v>112</v>
      </c>
      <c r="K290" s="2">
        <v>46225.468051157397</v>
      </c>
      <c r="L290" s="2">
        <v>46237.333353668997</v>
      </c>
      <c r="M290" t="s">
        <v>76</v>
      </c>
      <c r="N290" t="s">
        <v>77</v>
      </c>
      <c r="O290" t="s">
        <v>54</v>
      </c>
      <c r="P290" t="s">
        <v>160</v>
      </c>
      <c r="Q290" t="s">
        <v>405</v>
      </c>
      <c r="S290" t="s">
        <v>68</v>
      </c>
      <c r="V290" t="s">
        <v>59</v>
      </c>
      <c r="W290" t="s">
        <v>60</v>
      </c>
      <c r="X290" t="s">
        <v>61</v>
      </c>
      <c r="Y290" t="s">
        <v>47</v>
      </c>
      <c r="AA290" t="s">
        <v>1704</v>
      </c>
      <c r="AF290" t="s">
        <v>117</v>
      </c>
      <c r="AI290" t="s">
        <v>1705</v>
      </c>
      <c r="AJ290" t="s">
        <v>68</v>
      </c>
      <c r="AK290" t="s">
        <v>82</v>
      </c>
      <c r="AL290" t="s">
        <v>70</v>
      </c>
      <c r="AM290">
        <v>22</v>
      </c>
      <c r="AN290">
        <v>2026</v>
      </c>
      <c r="AO290" t="s">
        <v>71</v>
      </c>
      <c r="AP290">
        <v>3</v>
      </c>
      <c r="AQ290" t="s">
        <v>2589</v>
      </c>
    </row>
    <row r="291" spans="1:43" x14ac:dyDescent="0.25">
      <c r="A291">
        <v>290</v>
      </c>
      <c r="B291" t="s">
        <v>345</v>
      </c>
      <c r="C291" t="s">
        <v>1706</v>
      </c>
      <c r="D291" t="s">
        <v>1707</v>
      </c>
      <c r="E291" t="s">
        <v>1708</v>
      </c>
      <c r="F291" t="s">
        <v>47</v>
      </c>
      <c r="I291" t="s">
        <v>435</v>
      </c>
      <c r="K291" s="2">
        <v>46225.462288078699</v>
      </c>
      <c r="L291" s="2">
        <v>46233.333346608801</v>
      </c>
      <c r="M291" t="s">
        <v>76</v>
      </c>
      <c r="N291" t="s">
        <v>77</v>
      </c>
      <c r="O291" t="s">
        <v>54</v>
      </c>
      <c r="P291" t="s">
        <v>55</v>
      </c>
      <c r="Q291" t="s">
        <v>89</v>
      </c>
      <c r="S291" t="s">
        <v>68</v>
      </c>
      <c r="V291" t="s">
        <v>59</v>
      </c>
      <c r="W291" t="s">
        <v>90</v>
      </c>
      <c r="X291" t="s">
        <v>61</v>
      </c>
      <c r="Y291" t="s">
        <v>47</v>
      </c>
      <c r="AA291" t="s">
        <v>1709</v>
      </c>
      <c r="AF291" t="s">
        <v>1710</v>
      </c>
      <c r="AI291" t="s">
        <v>1711</v>
      </c>
      <c r="AJ291" t="s">
        <v>68</v>
      </c>
      <c r="AK291" t="s">
        <v>82</v>
      </c>
      <c r="AL291" t="s">
        <v>70</v>
      </c>
      <c r="AM291">
        <v>22</v>
      </c>
      <c r="AN291">
        <v>2026</v>
      </c>
      <c r="AO291" t="s">
        <v>71</v>
      </c>
      <c r="AP291">
        <v>30</v>
      </c>
      <c r="AQ291" t="s">
        <v>71</v>
      </c>
    </row>
    <row r="292" spans="1:43" x14ac:dyDescent="0.25">
      <c r="A292">
        <v>291</v>
      </c>
      <c r="B292" t="s">
        <v>345</v>
      </c>
      <c r="C292" t="s">
        <v>919</v>
      </c>
      <c r="D292" t="s">
        <v>1712</v>
      </c>
      <c r="E292" t="s">
        <v>1713</v>
      </c>
      <c r="F292" t="s">
        <v>47</v>
      </c>
      <c r="I292" t="s">
        <v>351</v>
      </c>
      <c r="J292" t="s">
        <v>51</v>
      </c>
      <c r="K292" s="2">
        <v>46225.669968830996</v>
      </c>
      <c r="L292" s="2">
        <v>46225.6736783218</v>
      </c>
      <c r="M292" t="s">
        <v>76</v>
      </c>
      <c r="N292" t="s">
        <v>77</v>
      </c>
      <c r="O292" t="s">
        <v>54</v>
      </c>
      <c r="P292" t="s">
        <v>55</v>
      </c>
      <c r="Q292" t="s">
        <v>621</v>
      </c>
      <c r="R292" t="s">
        <v>57</v>
      </c>
      <c r="S292" t="s">
        <v>68</v>
      </c>
      <c r="V292" t="s">
        <v>59</v>
      </c>
      <c r="W292" t="s">
        <v>90</v>
      </c>
      <c r="X292" t="s">
        <v>61</v>
      </c>
      <c r="Y292" t="s">
        <v>47</v>
      </c>
      <c r="AA292" t="s">
        <v>1714</v>
      </c>
      <c r="AF292" t="s">
        <v>65</v>
      </c>
      <c r="AG292" t="s">
        <v>246</v>
      </c>
      <c r="AI292" t="s">
        <v>1715</v>
      </c>
      <c r="AJ292" t="s">
        <v>68</v>
      </c>
      <c r="AK292" t="s">
        <v>82</v>
      </c>
      <c r="AL292" t="s">
        <v>70</v>
      </c>
      <c r="AM292">
        <v>22</v>
      </c>
      <c r="AN292">
        <v>2026</v>
      </c>
      <c r="AO292" t="s">
        <v>71</v>
      </c>
      <c r="AP292">
        <v>22</v>
      </c>
      <c r="AQ292" t="s">
        <v>71</v>
      </c>
    </row>
    <row r="293" spans="1:43" x14ac:dyDescent="0.25">
      <c r="A293">
        <v>292</v>
      </c>
      <c r="B293" t="s">
        <v>1716</v>
      </c>
      <c r="C293" t="s">
        <v>1717</v>
      </c>
      <c r="D293" t="s">
        <v>1718</v>
      </c>
      <c r="E293" t="s">
        <v>1719</v>
      </c>
      <c r="F293" t="s">
        <v>47</v>
      </c>
      <c r="H293" t="s">
        <v>1720</v>
      </c>
      <c r="I293" t="s">
        <v>1721</v>
      </c>
      <c r="J293" t="s">
        <v>295</v>
      </c>
      <c r="K293" s="2">
        <v>46225.329768055599</v>
      </c>
      <c r="L293" s="2">
        <v>46231.485473807901</v>
      </c>
      <c r="M293" t="s">
        <v>241</v>
      </c>
      <c r="N293" t="s">
        <v>242</v>
      </c>
      <c r="O293" t="s">
        <v>54</v>
      </c>
      <c r="P293" t="s">
        <v>1388</v>
      </c>
      <c r="Q293" t="s">
        <v>56</v>
      </c>
      <c r="R293" t="s">
        <v>57</v>
      </c>
      <c r="S293" t="s">
        <v>58</v>
      </c>
      <c r="V293" t="s">
        <v>59</v>
      </c>
      <c r="W293" t="s">
        <v>90</v>
      </c>
      <c r="X293" t="s">
        <v>61</v>
      </c>
      <c r="Y293" t="s">
        <v>47</v>
      </c>
      <c r="Z293" t="s">
        <v>114</v>
      </c>
      <c r="AA293" t="s">
        <v>1722</v>
      </c>
      <c r="AC293" t="s">
        <v>58</v>
      </c>
      <c r="AD293" s="2">
        <v>46230</v>
      </c>
      <c r="AE293" t="s">
        <v>1723</v>
      </c>
      <c r="AF293" t="s">
        <v>1723</v>
      </c>
      <c r="AG293" t="s">
        <v>365</v>
      </c>
      <c r="AI293" t="s">
        <v>1724</v>
      </c>
      <c r="AJ293" t="s">
        <v>68</v>
      </c>
      <c r="AK293" t="s">
        <v>248</v>
      </c>
      <c r="AL293" t="s">
        <v>70</v>
      </c>
      <c r="AM293">
        <v>22</v>
      </c>
      <c r="AN293">
        <v>2026</v>
      </c>
      <c r="AO293" t="s">
        <v>71</v>
      </c>
      <c r="AP293">
        <v>28</v>
      </c>
      <c r="AQ293" t="s">
        <v>71</v>
      </c>
    </row>
    <row r="294" spans="1:43" x14ac:dyDescent="0.25">
      <c r="A294">
        <v>293</v>
      </c>
      <c r="B294" t="s">
        <v>1073</v>
      </c>
      <c r="C294" t="s">
        <v>1725</v>
      </c>
      <c r="D294" t="s">
        <v>1726</v>
      </c>
      <c r="E294" t="s">
        <v>1727</v>
      </c>
      <c r="F294" t="s">
        <v>47</v>
      </c>
      <c r="I294" t="s">
        <v>1268</v>
      </c>
      <c r="K294" s="2">
        <v>46225.489620983797</v>
      </c>
      <c r="L294" s="2">
        <v>46233.333346608801</v>
      </c>
      <c r="M294" t="s">
        <v>76</v>
      </c>
      <c r="N294" t="s">
        <v>77</v>
      </c>
      <c r="O294" t="s">
        <v>54</v>
      </c>
      <c r="P294" t="s">
        <v>160</v>
      </c>
      <c r="Q294" t="s">
        <v>113</v>
      </c>
      <c r="S294" t="s">
        <v>68</v>
      </c>
      <c r="V294" t="s">
        <v>59</v>
      </c>
      <c r="W294" t="s">
        <v>60</v>
      </c>
      <c r="X294" t="s">
        <v>61</v>
      </c>
      <c r="Y294" t="s">
        <v>47</v>
      </c>
      <c r="AA294" t="s">
        <v>1728</v>
      </c>
      <c r="AF294" t="s">
        <v>65</v>
      </c>
      <c r="AI294" t="s">
        <v>1530</v>
      </c>
      <c r="AJ294" t="s">
        <v>68</v>
      </c>
      <c r="AK294" t="s">
        <v>82</v>
      </c>
      <c r="AL294" t="s">
        <v>70</v>
      </c>
      <c r="AM294">
        <v>22</v>
      </c>
      <c r="AN294">
        <v>2026</v>
      </c>
      <c r="AO294" t="s">
        <v>71</v>
      </c>
      <c r="AP294">
        <v>30</v>
      </c>
      <c r="AQ294" t="s">
        <v>71</v>
      </c>
    </row>
    <row r="295" spans="1:43" x14ac:dyDescent="0.25">
      <c r="A295">
        <v>294</v>
      </c>
      <c r="B295" t="s">
        <v>1073</v>
      </c>
      <c r="C295" t="s">
        <v>1729</v>
      </c>
      <c r="D295" t="s">
        <v>1730</v>
      </c>
      <c r="E295" t="s">
        <v>1731</v>
      </c>
      <c r="F295" t="s">
        <v>47</v>
      </c>
      <c r="I295" t="s">
        <v>1534</v>
      </c>
      <c r="K295" s="2">
        <v>46225.490719756897</v>
      </c>
      <c r="L295" s="2">
        <v>46233.333346608801</v>
      </c>
      <c r="M295" t="s">
        <v>76</v>
      </c>
      <c r="N295" t="s">
        <v>77</v>
      </c>
      <c r="O295" t="s">
        <v>54</v>
      </c>
      <c r="P295" t="s">
        <v>55</v>
      </c>
      <c r="Q295" t="s">
        <v>405</v>
      </c>
      <c r="S295" t="s">
        <v>68</v>
      </c>
      <c r="V295" t="s">
        <v>59</v>
      </c>
      <c r="W295" t="s">
        <v>60</v>
      </c>
      <c r="X295" t="s">
        <v>61</v>
      </c>
      <c r="Y295" t="s">
        <v>47</v>
      </c>
      <c r="AA295" t="s">
        <v>1732</v>
      </c>
      <c r="AF295" t="s">
        <v>65</v>
      </c>
      <c r="AI295" t="s">
        <v>1733</v>
      </c>
      <c r="AJ295" t="s">
        <v>68</v>
      </c>
      <c r="AK295" t="s">
        <v>82</v>
      </c>
      <c r="AL295" t="s">
        <v>70</v>
      </c>
      <c r="AM295">
        <v>22</v>
      </c>
      <c r="AN295">
        <v>2026</v>
      </c>
      <c r="AO295" t="s">
        <v>71</v>
      </c>
      <c r="AP295">
        <v>30</v>
      </c>
      <c r="AQ295" t="s">
        <v>71</v>
      </c>
    </row>
    <row r="296" spans="1:43" x14ac:dyDescent="0.25">
      <c r="A296">
        <v>295</v>
      </c>
      <c r="B296" t="s">
        <v>1073</v>
      </c>
      <c r="C296" t="s">
        <v>1734</v>
      </c>
      <c r="D296" t="s">
        <v>1735</v>
      </c>
      <c r="E296" t="s">
        <v>1736</v>
      </c>
      <c r="F296" t="s">
        <v>47</v>
      </c>
      <c r="I296" t="s">
        <v>1268</v>
      </c>
      <c r="K296" s="2">
        <v>46225.496195520798</v>
      </c>
      <c r="L296" s="2">
        <v>46233.333346608801</v>
      </c>
      <c r="M296" t="s">
        <v>76</v>
      </c>
      <c r="N296" t="s">
        <v>77</v>
      </c>
      <c r="O296" t="s">
        <v>54</v>
      </c>
      <c r="P296" t="s">
        <v>174</v>
      </c>
      <c r="Q296" t="s">
        <v>1501</v>
      </c>
      <c r="S296" t="s">
        <v>68</v>
      </c>
      <c r="V296" t="s">
        <v>59</v>
      </c>
      <c r="W296" t="s">
        <v>60</v>
      </c>
      <c r="X296" t="s">
        <v>61</v>
      </c>
      <c r="Y296" t="s">
        <v>47</v>
      </c>
      <c r="AA296" t="s">
        <v>1737</v>
      </c>
      <c r="AF296" t="s">
        <v>437</v>
      </c>
      <c r="AI296" t="s">
        <v>1421</v>
      </c>
      <c r="AJ296" t="s">
        <v>68</v>
      </c>
      <c r="AK296" t="s">
        <v>82</v>
      </c>
      <c r="AL296" t="s">
        <v>70</v>
      </c>
      <c r="AM296">
        <v>22</v>
      </c>
      <c r="AN296">
        <v>2026</v>
      </c>
      <c r="AO296" t="s">
        <v>71</v>
      </c>
      <c r="AP296">
        <v>30</v>
      </c>
      <c r="AQ296" t="s">
        <v>71</v>
      </c>
    </row>
    <row r="297" spans="1:43" x14ac:dyDescent="0.25">
      <c r="A297">
        <v>296</v>
      </c>
      <c r="B297" t="s">
        <v>1073</v>
      </c>
      <c r="C297" t="s">
        <v>1738</v>
      </c>
      <c r="D297" t="s">
        <v>1739</v>
      </c>
      <c r="E297" t="s">
        <v>1740</v>
      </c>
      <c r="F297" t="s">
        <v>47</v>
      </c>
      <c r="I297" t="s">
        <v>1268</v>
      </c>
      <c r="K297" s="2">
        <v>46225.763173460597</v>
      </c>
      <c r="L297" s="2">
        <v>46233.333346608801</v>
      </c>
      <c r="M297" t="s">
        <v>76</v>
      </c>
      <c r="N297" t="s">
        <v>77</v>
      </c>
      <c r="O297" t="s">
        <v>54</v>
      </c>
      <c r="P297" t="s">
        <v>174</v>
      </c>
      <c r="Q297" t="s">
        <v>185</v>
      </c>
      <c r="S297" t="s">
        <v>68</v>
      </c>
      <c r="V297" t="s">
        <v>59</v>
      </c>
      <c r="W297" t="s">
        <v>60</v>
      </c>
      <c r="X297" t="s">
        <v>61</v>
      </c>
      <c r="Y297" t="s">
        <v>47</v>
      </c>
      <c r="AA297" t="s">
        <v>1741</v>
      </c>
      <c r="AF297" t="s">
        <v>65</v>
      </c>
      <c r="AI297" t="s">
        <v>1421</v>
      </c>
      <c r="AJ297" t="s">
        <v>68</v>
      </c>
      <c r="AK297" t="s">
        <v>82</v>
      </c>
      <c r="AL297" t="s">
        <v>70</v>
      </c>
      <c r="AM297">
        <v>22</v>
      </c>
      <c r="AN297">
        <v>2026</v>
      </c>
      <c r="AO297" t="s">
        <v>71</v>
      </c>
      <c r="AP297">
        <v>30</v>
      </c>
      <c r="AQ297" t="s">
        <v>71</v>
      </c>
    </row>
    <row r="298" spans="1:43" x14ac:dyDescent="0.25">
      <c r="A298">
        <v>297</v>
      </c>
      <c r="B298" t="s">
        <v>129</v>
      </c>
      <c r="C298" t="s">
        <v>1742</v>
      </c>
      <c r="D298" t="s">
        <v>1743</v>
      </c>
      <c r="E298" t="s">
        <v>1744</v>
      </c>
      <c r="F298" t="s">
        <v>47</v>
      </c>
      <c r="I298" t="s">
        <v>133</v>
      </c>
      <c r="K298" s="2">
        <v>46225.396106018503</v>
      </c>
      <c r="L298" s="2">
        <v>46233.333346608801</v>
      </c>
      <c r="M298" t="s">
        <v>76</v>
      </c>
      <c r="N298" t="s">
        <v>77</v>
      </c>
      <c r="O298" t="s">
        <v>54</v>
      </c>
      <c r="P298" t="s">
        <v>146</v>
      </c>
      <c r="Q298" t="s">
        <v>1501</v>
      </c>
      <c r="S298" t="s">
        <v>68</v>
      </c>
      <c r="V298" t="s">
        <v>59</v>
      </c>
      <c r="W298" t="s">
        <v>60</v>
      </c>
      <c r="X298" t="s">
        <v>61</v>
      </c>
      <c r="Y298" t="s">
        <v>47</v>
      </c>
      <c r="AA298" t="s">
        <v>1745</v>
      </c>
      <c r="AF298" t="s">
        <v>117</v>
      </c>
      <c r="AI298" t="s">
        <v>1181</v>
      </c>
      <c r="AJ298" t="s">
        <v>68</v>
      </c>
      <c r="AK298" t="s">
        <v>82</v>
      </c>
      <c r="AL298" t="s">
        <v>70</v>
      </c>
      <c r="AM298">
        <v>22</v>
      </c>
      <c r="AN298">
        <v>2026</v>
      </c>
      <c r="AO298" t="s">
        <v>71</v>
      </c>
      <c r="AP298">
        <v>30</v>
      </c>
      <c r="AQ298" t="s">
        <v>71</v>
      </c>
    </row>
    <row r="299" spans="1:43" x14ac:dyDescent="0.25">
      <c r="A299">
        <v>298</v>
      </c>
      <c r="B299" t="s">
        <v>229</v>
      </c>
      <c r="C299" t="s">
        <v>1746</v>
      </c>
      <c r="D299" t="s">
        <v>1747</v>
      </c>
      <c r="E299" t="s">
        <v>1748</v>
      </c>
      <c r="F299" t="s">
        <v>47</v>
      </c>
      <c r="I299" t="s">
        <v>233</v>
      </c>
      <c r="J299" t="s">
        <v>51</v>
      </c>
      <c r="K299" s="2">
        <v>46225.382601157398</v>
      </c>
      <c r="L299" s="2">
        <v>46225.451985648098</v>
      </c>
      <c r="M299" t="s">
        <v>76</v>
      </c>
      <c r="N299" t="s">
        <v>77</v>
      </c>
      <c r="O299" t="s">
        <v>54</v>
      </c>
      <c r="P299" t="s">
        <v>160</v>
      </c>
      <c r="Q299" t="s">
        <v>89</v>
      </c>
      <c r="R299" t="s">
        <v>243</v>
      </c>
      <c r="S299" t="s">
        <v>68</v>
      </c>
      <c r="V299" t="s">
        <v>59</v>
      </c>
      <c r="W299" t="s">
        <v>90</v>
      </c>
      <c r="X299" t="s">
        <v>61</v>
      </c>
      <c r="Y299" t="s">
        <v>47</v>
      </c>
      <c r="AA299" t="s">
        <v>1749</v>
      </c>
      <c r="AF299" t="s">
        <v>245</v>
      </c>
      <c r="AG299" t="s">
        <v>246</v>
      </c>
      <c r="AI299" t="s">
        <v>1665</v>
      </c>
      <c r="AJ299" t="s">
        <v>68</v>
      </c>
      <c r="AK299" t="s">
        <v>82</v>
      </c>
      <c r="AL299" t="s">
        <v>70</v>
      </c>
      <c r="AM299">
        <v>22</v>
      </c>
      <c r="AN299">
        <v>2026</v>
      </c>
      <c r="AO299" t="s">
        <v>71</v>
      </c>
      <c r="AP299">
        <v>22</v>
      </c>
      <c r="AQ299" t="s">
        <v>71</v>
      </c>
    </row>
    <row r="300" spans="1:43" x14ac:dyDescent="0.25">
      <c r="A300">
        <v>299</v>
      </c>
      <c r="B300" t="s">
        <v>229</v>
      </c>
      <c r="C300" t="s">
        <v>1750</v>
      </c>
      <c r="D300" t="s">
        <v>1751</v>
      </c>
      <c r="E300" t="s">
        <v>1752</v>
      </c>
      <c r="F300" t="s">
        <v>47</v>
      </c>
      <c r="I300" t="s">
        <v>233</v>
      </c>
      <c r="J300" t="s">
        <v>51</v>
      </c>
      <c r="K300" s="2">
        <v>46225.571729513897</v>
      </c>
      <c r="L300" s="2">
        <v>46225.580234606503</v>
      </c>
      <c r="M300" t="s">
        <v>76</v>
      </c>
      <c r="N300" t="s">
        <v>77</v>
      </c>
      <c r="O300" t="s">
        <v>54</v>
      </c>
      <c r="P300" t="s">
        <v>55</v>
      </c>
      <c r="Q300" t="s">
        <v>56</v>
      </c>
      <c r="R300" t="s">
        <v>57</v>
      </c>
      <c r="S300" t="s">
        <v>68</v>
      </c>
      <c r="V300" t="s">
        <v>59</v>
      </c>
      <c r="W300" t="s">
        <v>90</v>
      </c>
      <c r="X300" t="s">
        <v>61</v>
      </c>
      <c r="Y300" t="s">
        <v>47</v>
      </c>
      <c r="AA300" t="s">
        <v>1753</v>
      </c>
      <c r="AF300" t="s">
        <v>245</v>
      </c>
      <c r="AG300" t="s">
        <v>246</v>
      </c>
      <c r="AI300" t="s">
        <v>1665</v>
      </c>
      <c r="AJ300" t="s">
        <v>68</v>
      </c>
      <c r="AK300" t="s">
        <v>82</v>
      </c>
      <c r="AL300" t="s">
        <v>70</v>
      </c>
      <c r="AM300">
        <v>22</v>
      </c>
      <c r="AN300">
        <v>2026</v>
      </c>
      <c r="AO300" t="s">
        <v>71</v>
      </c>
      <c r="AP300">
        <v>22</v>
      </c>
      <c r="AQ300" t="s">
        <v>71</v>
      </c>
    </row>
    <row r="301" spans="1:43" x14ac:dyDescent="0.25">
      <c r="A301">
        <v>300</v>
      </c>
      <c r="B301" t="s">
        <v>263</v>
      </c>
      <c r="C301" t="s">
        <v>1754</v>
      </c>
      <c r="D301" t="s">
        <v>1755</v>
      </c>
      <c r="E301" t="s">
        <v>1756</v>
      </c>
      <c r="F301" t="s">
        <v>47</v>
      </c>
      <c r="G301" t="s">
        <v>1757</v>
      </c>
      <c r="H301" t="s">
        <v>1758</v>
      </c>
      <c r="I301" t="s">
        <v>267</v>
      </c>
      <c r="J301" t="s">
        <v>51</v>
      </c>
      <c r="K301" s="2">
        <v>46225.474406863403</v>
      </c>
      <c r="L301" s="2">
        <v>46229.439134143497</v>
      </c>
      <c r="M301" t="s">
        <v>52</v>
      </c>
      <c r="N301" t="s">
        <v>53</v>
      </c>
      <c r="O301" t="s">
        <v>54</v>
      </c>
      <c r="P301" t="s">
        <v>55</v>
      </c>
      <c r="Q301" t="s">
        <v>56</v>
      </c>
      <c r="R301" t="s">
        <v>1106</v>
      </c>
      <c r="S301" t="s">
        <v>58</v>
      </c>
      <c r="V301" t="s">
        <v>59</v>
      </c>
      <c r="W301" t="s">
        <v>90</v>
      </c>
      <c r="X301" t="s">
        <v>61</v>
      </c>
      <c r="Y301" t="s">
        <v>47</v>
      </c>
      <c r="Z301" t="s">
        <v>62</v>
      </c>
      <c r="AA301" t="s">
        <v>1759</v>
      </c>
      <c r="AB301">
        <v>183600000</v>
      </c>
      <c r="AC301" t="s">
        <v>58</v>
      </c>
      <c r="AD301" s="2">
        <v>46227</v>
      </c>
      <c r="AE301" t="s">
        <v>1760</v>
      </c>
      <c r="AF301" t="s">
        <v>92</v>
      </c>
      <c r="AG301" t="s">
        <v>66</v>
      </c>
      <c r="AI301" t="s">
        <v>1761</v>
      </c>
      <c r="AJ301" t="s">
        <v>68</v>
      </c>
      <c r="AK301" t="s">
        <v>69</v>
      </c>
      <c r="AL301" t="s">
        <v>70</v>
      </c>
      <c r="AM301">
        <v>22</v>
      </c>
      <c r="AN301">
        <v>2026</v>
      </c>
      <c r="AO301" t="s">
        <v>71</v>
      </c>
      <c r="AP301">
        <v>26</v>
      </c>
      <c r="AQ301" t="s">
        <v>71</v>
      </c>
    </row>
    <row r="302" spans="1:43" x14ac:dyDescent="0.25">
      <c r="A302">
        <v>301</v>
      </c>
      <c r="B302" t="s">
        <v>464</v>
      </c>
      <c r="C302" t="s">
        <v>1762</v>
      </c>
      <c r="D302" t="s">
        <v>1763</v>
      </c>
      <c r="E302" t="s">
        <v>1764</v>
      </c>
      <c r="F302" t="s">
        <v>47</v>
      </c>
      <c r="G302" t="s">
        <v>1765</v>
      </c>
      <c r="H302" t="s">
        <v>1766</v>
      </c>
      <c r="I302" t="s">
        <v>275</v>
      </c>
      <c r="J302" t="s">
        <v>295</v>
      </c>
      <c r="K302" s="2">
        <v>46225.513192939798</v>
      </c>
      <c r="L302" s="2">
        <v>46233.388289317103</v>
      </c>
      <c r="M302" t="s">
        <v>52</v>
      </c>
      <c r="N302" t="s">
        <v>53</v>
      </c>
      <c r="O302" t="s">
        <v>54</v>
      </c>
      <c r="P302" t="s">
        <v>88</v>
      </c>
      <c r="Q302" t="s">
        <v>113</v>
      </c>
      <c r="R302" t="s">
        <v>57</v>
      </c>
      <c r="S302" t="s">
        <v>58</v>
      </c>
      <c r="V302" t="s">
        <v>59</v>
      </c>
      <c r="X302" t="s">
        <v>61</v>
      </c>
      <c r="Y302" t="s">
        <v>47</v>
      </c>
      <c r="Z302" t="s">
        <v>953</v>
      </c>
      <c r="AA302" t="s">
        <v>1767</v>
      </c>
      <c r="AB302">
        <v>73100000</v>
      </c>
      <c r="AC302" t="s">
        <v>58</v>
      </c>
      <c r="AD302" s="2">
        <v>46231</v>
      </c>
      <c r="AE302" t="s">
        <v>1768</v>
      </c>
      <c r="AF302" t="s">
        <v>469</v>
      </c>
      <c r="AG302" t="s">
        <v>66</v>
      </c>
      <c r="AI302" t="s">
        <v>470</v>
      </c>
      <c r="AJ302" t="s">
        <v>68</v>
      </c>
      <c r="AK302" t="s">
        <v>69</v>
      </c>
      <c r="AL302" t="s">
        <v>70</v>
      </c>
      <c r="AM302">
        <v>22</v>
      </c>
      <c r="AN302">
        <v>2026</v>
      </c>
      <c r="AO302" t="s">
        <v>71</v>
      </c>
      <c r="AP302">
        <v>30</v>
      </c>
      <c r="AQ302" t="s">
        <v>71</v>
      </c>
    </row>
    <row r="303" spans="1:43" x14ac:dyDescent="0.25">
      <c r="A303">
        <v>302</v>
      </c>
      <c r="B303" t="s">
        <v>278</v>
      </c>
      <c r="C303" t="s">
        <v>1769</v>
      </c>
      <c r="D303" t="s">
        <v>1770</v>
      </c>
      <c r="E303" t="s">
        <v>1771</v>
      </c>
      <c r="F303" t="s">
        <v>47</v>
      </c>
      <c r="I303" t="s">
        <v>284</v>
      </c>
      <c r="K303" s="2">
        <v>46225.439031250004</v>
      </c>
      <c r="L303" s="2">
        <v>46225.458388773201</v>
      </c>
      <c r="M303" t="s">
        <v>76</v>
      </c>
      <c r="N303" t="s">
        <v>77</v>
      </c>
      <c r="O303" t="s">
        <v>54</v>
      </c>
      <c r="P303" t="s">
        <v>174</v>
      </c>
      <c r="Q303" t="s">
        <v>89</v>
      </c>
      <c r="R303" t="s">
        <v>57</v>
      </c>
      <c r="S303" t="s">
        <v>68</v>
      </c>
      <c r="V303" t="s">
        <v>59</v>
      </c>
      <c r="W303" t="s">
        <v>90</v>
      </c>
      <c r="X303" t="s">
        <v>61</v>
      </c>
      <c r="Y303" t="s">
        <v>47</v>
      </c>
      <c r="AA303" t="s">
        <v>1772</v>
      </c>
      <c r="AF303" t="s">
        <v>289</v>
      </c>
      <c r="AI303" t="s">
        <v>1773</v>
      </c>
      <c r="AJ303" t="s">
        <v>68</v>
      </c>
      <c r="AK303" t="s">
        <v>82</v>
      </c>
      <c r="AL303" t="s">
        <v>70</v>
      </c>
      <c r="AM303">
        <v>22</v>
      </c>
      <c r="AN303">
        <v>2026</v>
      </c>
      <c r="AO303" t="s">
        <v>71</v>
      </c>
      <c r="AP303">
        <v>22</v>
      </c>
      <c r="AQ303" t="s">
        <v>71</v>
      </c>
    </row>
    <row r="304" spans="1:43" x14ac:dyDescent="0.25">
      <c r="A304">
        <v>303</v>
      </c>
      <c r="B304" t="s">
        <v>83</v>
      </c>
      <c r="C304" t="s">
        <v>1774</v>
      </c>
      <c r="D304" t="s">
        <v>1775</v>
      </c>
      <c r="E304" t="s">
        <v>1776</v>
      </c>
      <c r="F304" t="s">
        <v>47</v>
      </c>
      <c r="I304" t="s">
        <v>87</v>
      </c>
      <c r="K304" s="2">
        <v>46226.631807210702</v>
      </c>
      <c r="L304" s="2">
        <v>46234.333357638898</v>
      </c>
      <c r="M304" t="s">
        <v>76</v>
      </c>
      <c r="N304" t="s">
        <v>77</v>
      </c>
      <c r="O304" t="s">
        <v>54</v>
      </c>
      <c r="P304" t="s">
        <v>88</v>
      </c>
      <c r="Q304" t="s">
        <v>89</v>
      </c>
      <c r="S304" t="s">
        <v>68</v>
      </c>
      <c r="V304" t="s">
        <v>59</v>
      </c>
      <c r="W304" t="s">
        <v>90</v>
      </c>
      <c r="X304" t="s">
        <v>61</v>
      </c>
      <c r="Y304" t="s">
        <v>47</v>
      </c>
      <c r="AA304" t="s">
        <v>1777</v>
      </c>
      <c r="AF304" t="s">
        <v>92</v>
      </c>
      <c r="AI304" t="s">
        <v>910</v>
      </c>
      <c r="AJ304" t="s">
        <v>68</v>
      </c>
      <c r="AK304" t="s">
        <v>82</v>
      </c>
      <c r="AL304" t="s">
        <v>70</v>
      </c>
      <c r="AM304">
        <v>23</v>
      </c>
      <c r="AN304">
        <v>2026</v>
      </c>
      <c r="AO304" t="s">
        <v>71</v>
      </c>
      <c r="AP304">
        <v>31</v>
      </c>
      <c r="AQ304" t="s">
        <v>71</v>
      </c>
    </row>
    <row r="305" spans="1:43" x14ac:dyDescent="0.25">
      <c r="A305">
        <v>304</v>
      </c>
      <c r="B305" t="s">
        <v>83</v>
      </c>
      <c r="C305" t="s">
        <v>1778</v>
      </c>
      <c r="D305" t="s">
        <v>1779</v>
      </c>
      <c r="E305" t="s">
        <v>1780</v>
      </c>
      <c r="F305" t="s">
        <v>47</v>
      </c>
      <c r="I305" t="s">
        <v>193</v>
      </c>
      <c r="K305" s="2">
        <v>46226.814685648103</v>
      </c>
      <c r="L305" s="2">
        <v>46234.333357638898</v>
      </c>
      <c r="M305" t="s">
        <v>76</v>
      </c>
      <c r="N305" t="s">
        <v>77</v>
      </c>
      <c r="O305" t="s">
        <v>54</v>
      </c>
      <c r="P305" t="s">
        <v>78</v>
      </c>
      <c r="Q305" t="s">
        <v>147</v>
      </c>
      <c r="S305" t="s">
        <v>68</v>
      </c>
      <c r="V305" t="s">
        <v>59</v>
      </c>
      <c r="W305" t="s">
        <v>90</v>
      </c>
      <c r="X305" t="s">
        <v>61</v>
      </c>
      <c r="Y305" t="s">
        <v>47</v>
      </c>
      <c r="AA305" t="s">
        <v>1781</v>
      </c>
      <c r="AF305" t="s">
        <v>195</v>
      </c>
      <c r="AI305" t="s">
        <v>1782</v>
      </c>
      <c r="AJ305" t="s">
        <v>68</v>
      </c>
      <c r="AK305" t="s">
        <v>82</v>
      </c>
      <c r="AL305" t="s">
        <v>70</v>
      </c>
      <c r="AM305">
        <v>23</v>
      </c>
      <c r="AN305">
        <v>2026</v>
      </c>
      <c r="AO305" t="s">
        <v>71</v>
      </c>
      <c r="AP305">
        <v>31</v>
      </c>
      <c r="AQ305" t="s">
        <v>71</v>
      </c>
    </row>
    <row r="306" spans="1:43" x14ac:dyDescent="0.25">
      <c r="A306">
        <v>305</v>
      </c>
      <c r="B306" t="s">
        <v>106</v>
      </c>
      <c r="C306" t="s">
        <v>1783</v>
      </c>
      <c r="D306" t="s">
        <v>1784</v>
      </c>
      <c r="E306" t="s">
        <v>1785</v>
      </c>
      <c r="F306" t="s">
        <v>47</v>
      </c>
      <c r="I306" t="s">
        <v>112</v>
      </c>
      <c r="K306" s="2">
        <v>46226.491654664402</v>
      </c>
      <c r="L306" s="2">
        <v>46234.333357638898</v>
      </c>
      <c r="M306" t="s">
        <v>76</v>
      </c>
      <c r="N306" t="s">
        <v>77</v>
      </c>
      <c r="O306" t="s">
        <v>54</v>
      </c>
      <c r="P306" t="s">
        <v>160</v>
      </c>
      <c r="Q306" t="s">
        <v>113</v>
      </c>
      <c r="S306" t="s">
        <v>68</v>
      </c>
      <c r="V306" t="s">
        <v>59</v>
      </c>
      <c r="W306" t="s">
        <v>60</v>
      </c>
      <c r="X306" t="s">
        <v>61</v>
      </c>
      <c r="Y306" t="s">
        <v>47</v>
      </c>
      <c r="AA306" t="s">
        <v>1786</v>
      </c>
      <c r="AF306" t="s">
        <v>117</v>
      </c>
      <c r="AI306" t="s">
        <v>1787</v>
      </c>
      <c r="AJ306" t="s">
        <v>68</v>
      </c>
      <c r="AK306" t="s">
        <v>82</v>
      </c>
      <c r="AL306" t="s">
        <v>70</v>
      </c>
      <c r="AM306">
        <v>23</v>
      </c>
      <c r="AN306">
        <v>2026</v>
      </c>
      <c r="AO306" t="s">
        <v>71</v>
      </c>
      <c r="AP306">
        <v>31</v>
      </c>
      <c r="AQ306" t="s">
        <v>71</v>
      </c>
    </row>
    <row r="307" spans="1:43" x14ac:dyDescent="0.25">
      <c r="A307">
        <v>306</v>
      </c>
      <c r="B307" t="s">
        <v>213</v>
      </c>
      <c r="C307" t="s">
        <v>1788</v>
      </c>
      <c r="D307" t="s">
        <v>1789</v>
      </c>
      <c r="E307" t="s">
        <v>1790</v>
      </c>
      <c r="F307" t="s">
        <v>47</v>
      </c>
      <c r="I307" t="s">
        <v>217</v>
      </c>
      <c r="K307" s="2">
        <v>46226.350556944402</v>
      </c>
      <c r="L307" s="2">
        <v>46234.333357638898</v>
      </c>
      <c r="M307" t="s">
        <v>76</v>
      </c>
      <c r="N307" t="s">
        <v>77</v>
      </c>
      <c r="O307" t="s">
        <v>54</v>
      </c>
      <c r="P307" t="s">
        <v>285</v>
      </c>
      <c r="Q307" t="s">
        <v>175</v>
      </c>
      <c r="S307" t="s">
        <v>68</v>
      </c>
      <c r="V307" t="s">
        <v>59</v>
      </c>
      <c r="W307" t="s">
        <v>90</v>
      </c>
      <c r="X307" t="s">
        <v>61</v>
      </c>
      <c r="Y307" t="s">
        <v>47</v>
      </c>
      <c r="AA307" t="s">
        <v>1791</v>
      </c>
      <c r="AF307" t="s">
        <v>1792</v>
      </c>
      <c r="AI307" t="s">
        <v>739</v>
      </c>
      <c r="AJ307" t="s">
        <v>68</v>
      </c>
      <c r="AK307" t="s">
        <v>82</v>
      </c>
      <c r="AL307" t="s">
        <v>70</v>
      </c>
      <c r="AM307">
        <v>23</v>
      </c>
      <c r="AN307">
        <v>2026</v>
      </c>
      <c r="AO307" t="s">
        <v>71</v>
      </c>
      <c r="AP307">
        <v>31</v>
      </c>
      <c r="AQ307" t="s">
        <v>71</v>
      </c>
    </row>
    <row r="308" spans="1:43" x14ac:dyDescent="0.25">
      <c r="A308">
        <v>307</v>
      </c>
      <c r="B308" t="s">
        <v>345</v>
      </c>
      <c r="C308" t="s">
        <v>1793</v>
      </c>
      <c r="D308" t="s">
        <v>1794</v>
      </c>
      <c r="E308" t="s">
        <v>1795</v>
      </c>
      <c r="F308" t="s">
        <v>47</v>
      </c>
      <c r="H308" t="s">
        <v>1796</v>
      </c>
      <c r="I308" t="s">
        <v>351</v>
      </c>
      <c r="J308" t="s">
        <v>51</v>
      </c>
      <c r="K308" s="2">
        <v>46226.253959988397</v>
      </c>
      <c r="L308" s="2">
        <v>46233.545802465298</v>
      </c>
      <c r="M308" t="s">
        <v>241</v>
      </c>
      <c r="N308" t="s">
        <v>242</v>
      </c>
      <c r="O308" t="s">
        <v>54</v>
      </c>
      <c r="P308" t="s">
        <v>1797</v>
      </c>
      <c r="Q308" t="s">
        <v>405</v>
      </c>
      <c r="R308" t="s">
        <v>57</v>
      </c>
      <c r="S308" t="s">
        <v>58</v>
      </c>
      <c r="V308" t="s">
        <v>59</v>
      </c>
      <c r="W308" t="s">
        <v>90</v>
      </c>
      <c r="X308" t="s">
        <v>61</v>
      </c>
      <c r="Y308" t="s">
        <v>47</v>
      </c>
      <c r="Z308" t="s">
        <v>1798</v>
      </c>
      <c r="AA308" t="s">
        <v>1799</v>
      </c>
      <c r="AC308" t="s">
        <v>58</v>
      </c>
      <c r="AD308" s="2">
        <v>46231</v>
      </c>
      <c r="AE308" t="s">
        <v>1800</v>
      </c>
      <c r="AF308" t="s">
        <v>1800</v>
      </c>
      <c r="AG308" t="s">
        <v>246</v>
      </c>
      <c r="AI308" t="s">
        <v>1801</v>
      </c>
      <c r="AJ308" t="s">
        <v>68</v>
      </c>
      <c r="AK308" t="s">
        <v>248</v>
      </c>
      <c r="AL308" t="s">
        <v>70</v>
      </c>
      <c r="AM308">
        <v>23</v>
      </c>
      <c r="AN308">
        <v>2026</v>
      </c>
      <c r="AO308" t="s">
        <v>71</v>
      </c>
      <c r="AP308">
        <v>30</v>
      </c>
      <c r="AQ308" t="s">
        <v>71</v>
      </c>
    </row>
    <row r="309" spans="1:43" x14ac:dyDescent="0.25">
      <c r="A309">
        <v>308</v>
      </c>
      <c r="B309" t="s">
        <v>345</v>
      </c>
      <c r="C309" t="s">
        <v>1802</v>
      </c>
      <c r="D309" t="s">
        <v>1803</v>
      </c>
      <c r="E309" t="s">
        <v>1804</v>
      </c>
      <c r="F309" t="s">
        <v>47</v>
      </c>
      <c r="G309" t="s">
        <v>1805</v>
      </c>
      <c r="H309" t="s">
        <v>1806</v>
      </c>
      <c r="I309" t="s">
        <v>351</v>
      </c>
      <c r="J309" t="s">
        <v>51</v>
      </c>
      <c r="K309" s="2">
        <v>46226.536941469902</v>
      </c>
      <c r="L309" s="2">
        <v>46228.5442833333</v>
      </c>
      <c r="M309" t="s">
        <v>52</v>
      </c>
      <c r="N309" t="s">
        <v>53</v>
      </c>
      <c r="O309" t="s">
        <v>54</v>
      </c>
      <c r="P309" t="s">
        <v>55</v>
      </c>
      <c r="Q309" t="s">
        <v>185</v>
      </c>
      <c r="R309" t="s">
        <v>57</v>
      </c>
      <c r="S309" t="s">
        <v>58</v>
      </c>
      <c r="V309" t="s">
        <v>59</v>
      </c>
      <c r="W309" t="s">
        <v>90</v>
      </c>
      <c r="X309" t="s">
        <v>61</v>
      </c>
      <c r="Y309" t="s">
        <v>47</v>
      </c>
      <c r="Z309" t="s">
        <v>953</v>
      </c>
      <c r="AA309" t="s">
        <v>1807</v>
      </c>
      <c r="AB309">
        <v>119000000</v>
      </c>
      <c r="AC309" t="s">
        <v>58</v>
      </c>
      <c r="AD309" s="2">
        <v>46227</v>
      </c>
      <c r="AE309" t="s">
        <v>1808</v>
      </c>
      <c r="AF309" t="s">
        <v>117</v>
      </c>
      <c r="AG309" t="s">
        <v>66</v>
      </c>
      <c r="AI309" t="s">
        <v>1264</v>
      </c>
      <c r="AJ309" t="s">
        <v>68</v>
      </c>
      <c r="AK309" t="s">
        <v>69</v>
      </c>
      <c r="AL309" t="s">
        <v>70</v>
      </c>
      <c r="AM309">
        <v>23</v>
      </c>
      <c r="AN309">
        <v>2026</v>
      </c>
      <c r="AO309" t="s">
        <v>71</v>
      </c>
      <c r="AP309">
        <v>25</v>
      </c>
      <c r="AQ309" t="s">
        <v>71</v>
      </c>
    </row>
    <row r="310" spans="1:43" x14ac:dyDescent="0.25">
      <c r="A310">
        <v>309</v>
      </c>
      <c r="B310" t="s">
        <v>345</v>
      </c>
      <c r="C310" t="s">
        <v>1809</v>
      </c>
      <c r="D310" t="s">
        <v>1810</v>
      </c>
      <c r="E310" t="s">
        <v>1811</v>
      </c>
      <c r="F310" t="s">
        <v>47</v>
      </c>
      <c r="I310" t="s">
        <v>435</v>
      </c>
      <c r="K310" s="2">
        <v>46226.687051585701</v>
      </c>
      <c r="L310" s="2">
        <v>46234.333357638898</v>
      </c>
      <c r="M310" t="s">
        <v>76</v>
      </c>
      <c r="N310" t="s">
        <v>77</v>
      </c>
      <c r="O310" t="s">
        <v>54</v>
      </c>
      <c r="P310" t="s">
        <v>88</v>
      </c>
      <c r="Q310" t="s">
        <v>218</v>
      </c>
      <c r="S310" t="s">
        <v>68</v>
      </c>
      <c r="V310" t="s">
        <v>59</v>
      </c>
      <c r="W310" t="s">
        <v>90</v>
      </c>
      <c r="X310" t="s">
        <v>61</v>
      </c>
      <c r="Y310" t="s">
        <v>47</v>
      </c>
      <c r="AA310" t="s">
        <v>1812</v>
      </c>
      <c r="AF310" t="s">
        <v>437</v>
      </c>
      <c r="AI310" t="s">
        <v>1813</v>
      </c>
      <c r="AJ310" t="s">
        <v>68</v>
      </c>
      <c r="AK310" t="s">
        <v>82</v>
      </c>
      <c r="AL310" t="s">
        <v>70</v>
      </c>
      <c r="AM310">
        <v>23</v>
      </c>
      <c r="AN310">
        <v>2026</v>
      </c>
      <c r="AO310" t="s">
        <v>71</v>
      </c>
      <c r="AP310">
        <v>31</v>
      </c>
      <c r="AQ310" t="s">
        <v>71</v>
      </c>
    </row>
    <row r="311" spans="1:43" x14ac:dyDescent="0.25">
      <c r="A311">
        <v>310</v>
      </c>
      <c r="B311" t="s">
        <v>1073</v>
      </c>
      <c r="C311" t="s">
        <v>1814</v>
      </c>
      <c r="D311" t="s">
        <v>1815</v>
      </c>
      <c r="E311" t="s">
        <v>1816</v>
      </c>
      <c r="F311" t="s">
        <v>47</v>
      </c>
      <c r="I311" t="s">
        <v>1268</v>
      </c>
      <c r="K311" s="2">
        <v>46226.382151157399</v>
      </c>
      <c r="L311" s="2">
        <v>46234.333357638898</v>
      </c>
      <c r="M311" t="s">
        <v>76</v>
      </c>
      <c r="N311" t="s">
        <v>77</v>
      </c>
      <c r="O311" t="s">
        <v>54</v>
      </c>
      <c r="P311" t="s">
        <v>55</v>
      </c>
      <c r="Q311" t="s">
        <v>56</v>
      </c>
      <c r="S311" t="s">
        <v>68</v>
      </c>
      <c r="V311" t="s">
        <v>59</v>
      </c>
      <c r="W311" t="s">
        <v>60</v>
      </c>
      <c r="X311" t="s">
        <v>61</v>
      </c>
      <c r="Y311" t="s">
        <v>47</v>
      </c>
      <c r="AA311" t="s">
        <v>1817</v>
      </c>
      <c r="AF311" t="s">
        <v>65</v>
      </c>
      <c r="AI311" t="s">
        <v>1530</v>
      </c>
      <c r="AJ311" t="s">
        <v>68</v>
      </c>
      <c r="AK311" t="s">
        <v>82</v>
      </c>
      <c r="AL311" t="s">
        <v>70</v>
      </c>
      <c r="AM311">
        <v>23</v>
      </c>
      <c r="AN311">
        <v>2026</v>
      </c>
      <c r="AO311" t="s">
        <v>71</v>
      </c>
      <c r="AP311">
        <v>31</v>
      </c>
      <c r="AQ311" t="s">
        <v>71</v>
      </c>
    </row>
    <row r="312" spans="1:43" x14ac:dyDescent="0.25">
      <c r="A312">
        <v>311</v>
      </c>
      <c r="B312" t="s">
        <v>1073</v>
      </c>
      <c r="C312" t="s">
        <v>1818</v>
      </c>
      <c r="D312" t="s">
        <v>1819</v>
      </c>
      <c r="E312" t="s">
        <v>1820</v>
      </c>
      <c r="F312" t="s">
        <v>47</v>
      </c>
      <c r="I312" t="s">
        <v>1268</v>
      </c>
      <c r="J312" t="s">
        <v>51</v>
      </c>
      <c r="K312" s="2">
        <v>46226.395449502299</v>
      </c>
      <c r="L312" s="2">
        <v>46227.6379115741</v>
      </c>
      <c r="M312" t="s">
        <v>76</v>
      </c>
      <c r="N312" t="s">
        <v>77</v>
      </c>
      <c r="O312" t="s">
        <v>54</v>
      </c>
      <c r="P312" t="s">
        <v>1016</v>
      </c>
      <c r="Q312" t="s">
        <v>296</v>
      </c>
      <c r="R312" t="s">
        <v>243</v>
      </c>
      <c r="S312" t="s">
        <v>68</v>
      </c>
      <c r="V312" t="s">
        <v>59</v>
      </c>
      <c r="W312" t="s">
        <v>60</v>
      </c>
      <c r="X312" t="s">
        <v>61</v>
      </c>
      <c r="Y312" t="s">
        <v>47</v>
      </c>
      <c r="AA312" t="s">
        <v>1821</v>
      </c>
      <c r="AF312" t="s">
        <v>65</v>
      </c>
      <c r="AG312" t="s">
        <v>246</v>
      </c>
      <c r="AI312" t="s">
        <v>1270</v>
      </c>
      <c r="AJ312" t="s">
        <v>68</v>
      </c>
      <c r="AK312" t="s">
        <v>82</v>
      </c>
      <c r="AL312" t="s">
        <v>70</v>
      </c>
      <c r="AM312">
        <v>23</v>
      </c>
      <c r="AN312">
        <v>2026</v>
      </c>
      <c r="AO312" t="s">
        <v>71</v>
      </c>
      <c r="AP312">
        <v>24</v>
      </c>
      <c r="AQ312" t="s">
        <v>71</v>
      </c>
    </row>
    <row r="313" spans="1:43" x14ac:dyDescent="0.25">
      <c r="A313">
        <v>312</v>
      </c>
      <c r="B313" t="s">
        <v>229</v>
      </c>
      <c r="C313" t="s">
        <v>1822</v>
      </c>
      <c r="D313" t="s">
        <v>1823</v>
      </c>
      <c r="E313" t="s">
        <v>1824</v>
      </c>
      <c r="F313" t="s">
        <v>47</v>
      </c>
      <c r="I313" t="s">
        <v>233</v>
      </c>
      <c r="K313" s="2">
        <v>46226.449508252299</v>
      </c>
      <c r="L313" s="2">
        <v>46234.333357638898</v>
      </c>
      <c r="M313" t="s">
        <v>76</v>
      </c>
      <c r="N313" t="s">
        <v>77</v>
      </c>
      <c r="O313" t="s">
        <v>54</v>
      </c>
      <c r="P313" t="s">
        <v>88</v>
      </c>
      <c r="Q313" t="s">
        <v>89</v>
      </c>
      <c r="S313" t="s">
        <v>68</v>
      </c>
      <c r="V313" t="s">
        <v>59</v>
      </c>
      <c r="W313" t="s">
        <v>90</v>
      </c>
      <c r="X313" t="s">
        <v>61</v>
      </c>
      <c r="Y313" t="s">
        <v>47</v>
      </c>
      <c r="AA313" t="s">
        <v>1825</v>
      </c>
      <c r="AF313" t="s">
        <v>235</v>
      </c>
      <c r="AI313" t="s">
        <v>1665</v>
      </c>
      <c r="AJ313" t="s">
        <v>68</v>
      </c>
      <c r="AK313" t="s">
        <v>82</v>
      </c>
      <c r="AL313" t="s">
        <v>70</v>
      </c>
      <c r="AM313">
        <v>23</v>
      </c>
      <c r="AN313">
        <v>2026</v>
      </c>
      <c r="AO313" t="s">
        <v>71</v>
      </c>
      <c r="AP313">
        <v>31</v>
      </c>
      <c r="AQ313" t="s">
        <v>71</v>
      </c>
    </row>
    <row r="314" spans="1:43" x14ac:dyDescent="0.25">
      <c r="A314">
        <v>313</v>
      </c>
      <c r="B314" t="s">
        <v>229</v>
      </c>
      <c r="C314" t="s">
        <v>1826</v>
      </c>
      <c r="D314" t="s">
        <v>1827</v>
      </c>
      <c r="E314" t="s">
        <v>1828</v>
      </c>
      <c r="F314" t="s">
        <v>47</v>
      </c>
      <c r="I314" t="s">
        <v>233</v>
      </c>
      <c r="K314" s="2">
        <v>46226.639327430603</v>
      </c>
      <c r="L314" s="2">
        <v>46234.333357638898</v>
      </c>
      <c r="M314" t="s">
        <v>76</v>
      </c>
      <c r="N314" t="s">
        <v>77</v>
      </c>
      <c r="O314" t="s">
        <v>54</v>
      </c>
      <c r="P314" t="s">
        <v>88</v>
      </c>
      <c r="Q314" t="s">
        <v>154</v>
      </c>
      <c r="S314" t="s">
        <v>68</v>
      </c>
      <c r="V314" t="s">
        <v>59</v>
      </c>
      <c r="W314" t="s">
        <v>90</v>
      </c>
      <c r="X314" t="s">
        <v>61</v>
      </c>
      <c r="Y314" t="s">
        <v>47</v>
      </c>
      <c r="AA314" t="s">
        <v>1829</v>
      </c>
      <c r="AF314" t="s">
        <v>245</v>
      </c>
      <c r="AI314" t="s">
        <v>1549</v>
      </c>
      <c r="AJ314" t="s">
        <v>68</v>
      </c>
      <c r="AK314" t="s">
        <v>82</v>
      </c>
      <c r="AL314" t="s">
        <v>70</v>
      </c>
      <c r="AM314">
        <v>23</v>
      </c>
      <c r="AN314">
        <v>2026</v>
      </c>
      <c r="AO314" t="s">
        <v>71</v>
      </c>
      <c r="AP314">
        <v>31</v>
      </c>
      <c r="AQ314" t="s">
        <v>71</v>
      </c>
    </row>
    <row r="315" spans="1:43" x14ac:dyDescent="0.25">
      <c r="A315">
        <v>314</v>
      </c>
      <c r="B315" t="s">
        <v>249</v>
      </c>
      <c r="C315" t="s">
        <v>1830</v>
      </c>
      <c r="D315" t="s">
        <v>1831</v>
      </c>
      <c r="E315" t="s">
        <v>1832</v>
      </c>
      <c r="F315" t="s">
        <v>47</v>
      </c>
      <c r="I315" t="s">
        <v>254</v>
      </c>
      <c r="K315" s="2">
        <v>46226.479866087997</v>
      </c>
      <c r="L315" s="2">
        <v>46226.493117974504</v>
      </c>
      <c r="M315" t="s">
        <v>76</v>
      </c>
      <c r="N315" t="s">
        <v>77</v>
      </c>
      <c r="O315" t="s">
        <v>54</v>
      </c>
      <c r="P315" t="s">
        <v>55</v>
      </c>
      <c r="Q315" t="s">
        <v>113</v>
      </c>
      <c r="R315" t="s">
        <v>57</v>
      </c>
      <c r="S315" t="s">
        <v>68</v>
      </c>
      <c r="V315" t="s">
        <v>59</v>
      </c>
      <c r="W315" t="s">
        <v>90</v>
      </c>
      <c r="X315" t="s">
        <v>61</v>
      </c>
      <c r="Y315" t="s">
        <v>47</v>
      </c>
      <c r="AA315" t="s">
        <v>1833</v>
      </c>
      <c r="AF315" t="s">
        <v>92</v>
      </c>
      <c r="AI315" t="s">
        <v>1554</v>
      </c>
      <c r="AJ315" t="s">
        <v>68</v>
      </c>
      <c r="AK315" t="s">
        <v>82</v>
      </c>
      <c r="AL315" t="s">
        <v>70</v>
      </c>
      <c r="AM315">
        <v>23</v>
      </c>
      <c r="AN315">
        <v>2026</v>
      </c>
      <c r="AO315" t="s">
        <v>71</v>
      </c>
      <c r="AP315">
        <v>23</v>
      </c>
      <c r="AQ315" t="s">
        <v>71</v>
      </c>
    </row>
    <row r="316" spans="1:43" x14ac:dyDescent="0.25">
      <c r="A316">
        <v>315</v>
      </c>
      <c r="B316" t="s">
        <v>379</v>
      </c>
      <c r="C316" t="s">
        <v>1834</v>
      </c>
      <c r="D316" t="s">
        <v>1835</v>
      </c>
      <c r="E316" t="s">
        <v>1836</v>
      </c>
      <c r="F316" t="s">
        <v>47</v>
      </c>
      <c r="G316" t="s">
        <v>1837</v>
      </c>
      <c r="H316" t="s">
        <v>1838</v>
      </c>
      <c r="I316" t="s">
        <v>385</v>
      </c>
      <c r="J316" t="s">
        <v>51</v>
      </c>
      <c r="K316" s="2">
        <v>46226.213280590302</v>
      </c>
      <c r="L316" s="2">
        <v>46230.681630983803</v>
      </c>
      <c r="M316" t="s">
        <v>52</v>
      </c>
      <c r="N316" t="s">
        <v>53</v>
      </c>
      <c r="O316" t="s">
        <v>54</v>
      </c>
      <c r="P316" t="s">
        <v>55</v>
      </c>
      <c r="Q316" t="s">
        <v>621</v>
      </c>
      <c r="R316" t="s">
        <v>57</v>
      </c>
      <c r="S316" t="s">
        <v>58</v>
      </c>
      <c r="V316" t="s">
        <v>59</v>
      </c>
      <c r="W316" t="s">
        <v>90</v>
      </c>
      <c r="X316" t="s">
        <v>61</v>
      </c>
      <c r="Y316" t="s">
        <v>47</v>
      </c>
      <c r="Z316" t="s">
        <v>255</v>
      </c>
      <c r="AA316" t="s">
        <v>1839</v>
      </c>
      <c r="AB316">
        <v>81338000</v>
      </c>
      <c r="AC316" t="s">
        <v>58</v>
      </c>
      <c r="AD316" s="2">
        <v>46229</v>
      </c>
      <c r="AE316" t="s">
        <v>1840</v>
      </c>
      <c r="AF316" t="s">
        <v>390</v>
      </c>
      <c r="AG316" t="s">
        <v>66</v>
      </c>
      <c r="AI316" t="s">
        <v>391</v>
      </c>
      <c r="AJ316" t="s">
        <v>68</v>
      </c>
      <c r="AK316" t="s">
        <v>69</v>
      </c>
      <c r="AL316" t="s">
        <v>70</v>
      </c>
      <c r="AM316">
        <v>23</v>
      </c>
      <c r="AN316">
        <v>2026</v>
      </c>
      <c r="AO316" t="s">
        <v>71</v>
      </c>
      <c r="AP316">
        <v>27</v>
      </c>
      <c r="AQ316" t="s">
        <v>71</v>
      </c>
    </row>
    <row r="317" spans="1:43" x14ac:dyDescent="0.25">
      <c r="A317">
        <v>316</v>
      </c>
      <c r="B317" t="s">
        <v>379</v>
      </c>
      <c r="C317" t="s">
        <v>1841</v>
      </c>
      <c r="D317" t="s">
        <v>1842</v>
      </c>
      <c r="E317" t="s">
        <v>1843</v>
      </c>
      <c r="F317" t="s">
        <v>75</v>
      </c>
      <c r="H317" t="s">
        <v>1844</v>
      </c>
      <c r="I317" t="s">
        <v>660</v>
      </c>
      <c r="J317" t="s">
        <v>51</v>
      </c>
      <c r="K317" s="2">
        <v>46226.963931168997</v>
      </c>
      <c r="L317" s="2">
        <v>46230.719264039399</v>
      </c>
      <c r="M317" t="s">
        <v>241</v>
      </c>
      <c r="N317" t="s">
        <v>242</v>
      </c>
      <c r="O317" t="s">
        <v>54</v>
      </c>
      <c r="P317" t="s">
        <v>55</v>
      </c>
      <c r="Q317" t="s">
        <v>218</v>
      </c>
      <c r="R317" t="s">
        <v>1310</v>
      </c>
      <c r="S317" t="s">
        <v>58</v>
      </c>
      <c r="V317" t="s">
        <v>59</v>
      </c>
      <c r="W317" t="s">
        <v>90</v>
      </c>
      <c r="X317" t="s">
        <v>61</v>
      </c>
      <c r="Y317" t="s">
        <v>75</v>
      </c>
      <c r="Z317" t="s">
        <v>62</v>
      </c>
      <c r="AA317" t="s">
        <v>1845</v>
      </c>
      <c r="AC317" t="s">
        <v>58</v>
      </c>
      <c r="AD317" s="2">
        <v>46230</v>
      </c>
      <c r="AE317" t="s">
        <v>92</v>
      </c>
      <c r="AF317" t="s">
        <v>92</v>
      </c>
      <c r="AG317" t="s">
        <v>246</v>
      </c>
      <c r="AK317" t="s">
        <v>248</v>
      </c>
      <c r="AL317" t="s">
        <v>70</v>
      </c>
      <c r="AM317">
        <v>23</v>
      </c>
      <c r="AN317">
        <v>2026</v>
      </c>
      <c r="AO317" t="s">
        <v>71</v>
      </c>
      <c r="AP317">
        <v>27</v>
      </c>
      <c r="AQ317" t="s">
        <v>71</v>
      </c>
    </row>
    <row r="318" spans="1:43" x14ac:dyDescent="0.25">
      <c r="A318">
        <v>317</v>
      </c>
      <c r="B318" t="s">
        <v>263</v>
      </c>
      <c r="C318" t="s">
        <v>1846</v>
      </c>
      <c r="D318" t="s">
        <v>1847</v>
      </c>
      <c r="E318" t="s">
        <v>1848</v>
      </c>
      <c r="F318" t="s">
        <v>75</v>
      </c>
      <c r="I318" t="s">
        <v>267</v>
      </c>
      <c r="K318" s="2">
        <v>46226.444381134301</v>
      </c>
      <c r="L318" s="2">
        <v>46234.333357638898</v>
      </c>
      <c r="M318" t="s">
        <v>76</v>
      </c>
      <c r="N318" t="s">
        <v>77</v>
      </c>
      <c r="O318" t="s">
        <v>54</v>
      </c>
      <c r="P318" t="s">
        <v>55</v>
      </c>
      <c r="Q318" t="s">
        <v>89</v>
      </c>
      <c r="S318" t="s">
        <v>68</v>
      </c>
      <c r="V318" t="s">
        <v>59</v>
      </c>
      <c r="W318" t="s">
        <v>90</v>
      </c>
      <c r="X318" t="s">
        <v>61</v>
      </c>
      <c r="Y318" t="s">
        <v>75</v>
      </c>
      <c r="AA318" t="s">
        <v>1849</v>
      </c>
      <c r="AF318" t="s">
        <v>92</v>
      </c>
      <c r="AK318" t="s">
        <v>82</v>
      </c>
      <c r="AL318" t="s">
        <v>70</v>
      </c>
      <c r="AM318">
        <v>23</v>
      </c>
      <c r="AN318">
        <v>2026</v>
      </c>
      <c r="AO318" t="s">
        <v>71</v>
      </c>
      <c r="AP318">
        <v>31</v>
      </c>
      <c r="AQ318" t="s">
        <v>71</v>
      </c>
    </row>
    <row r="319" spans="1:43" x14ac:dyDescent="0.25">
      <c r="A319">
        <v>318</v>
      </c>
      <c r="B319" t="s">
        <v>400</v>
      </c>
      <c r="C319" t="s">
        <v>1850</v>
      </c>
      <c r="D319" t="s">
        <v>1851</v>
      </c>
      <c r="E319" t="s">
        <v>1852</v>
      </c>
      <c r="F319" t="s">
        <v>47</v>
      </c>
      <c r="I319" t="s">
        <v>404</v>
      </c>
      <c r="K319" s="2">
        <v>46226.373368831002</v>
      </c>
      <c r="L319" s="2">
        <v>46226.3871321759</v>
      </c>
      <c r="M319" t="s">
        <v>1165</v>
      </c>
      <c r="N319" t="s">
        <v>1166</v>
      </c>
      <c r="O319" t="s">
        <v>54</v>
      </c>
      <c r="P319" t="s">
        <v>55</v>
      </c>
      <c r="Q319" t="s">
        <v>185</v>
      </c>
      <c r="R319" t="s">
        <v>57</v>
      </c>
      <c r="S319" t="s">
        <v>1282</v>
      </c>
      <c r="V319" t="s">
        <v>59</v>
      </c>
      <c r="W319" t="s">
        <v>90</v>
      </c>
      <c r="X319" t="s">
        <v>61</v>
      </c>
      <c r="Y319" t="s">
        <v>47</v>
      </c>
      <c r="AA319" t="s">
        <v>1853</v>
      </c>
      <c r="AF319" t="s">
        <v>1854</v>
      </c>
      <c r="AI319" t="s">
        <v>1590</v>
      </c>
      <c r="AJ319" t="s">
        <v>68</v>
      </c>
      <c r="AK319" t="s">
        <v>248</v>
      </c>
      <c r="AL319" t="s">
        <v>70</v>
      </c>
      <c r="AM319">
        <v>23</v>
      </c>
      <c r="AN319">
        <v>2026</v>
      </c>
      <c r="AO319" t="s">
        <v>71</v>
      </c>
      <c r="AP319">
        <v>23</v>
      </c>
      <c r="AQ319" t="s">
        <v>71</v>
      </c>
    </row>
    <row r="320" spans="1:43" x14ac:dyDescent="0.25">
      <c r="A320">
        <v>319</v>
      </c>
      <c r="B320" t="s">
        <v>464</v>
      </c>
      <c r="C320" t="s">
        <v>1855</v>
      </c>
      <c r="D320" t="s">
        <v>1856</v>
      </c>
      <c r="E320" t="s">
        <v>1857</v>
      </c>
      <c r="F320" t="s">
        <v>47</v>
      </c>
      <c r="I320" t="s">
        <v>275</v>
      </c>
      <c r="K320" s="2">
        <v>46226.465479398103</v>
      </c>
      <c r="L320" s="2">
        <v>46234.333357638898</v>
      </c>
      <c r="M320" t="s">
        <v>76</v>
      </c>
      <c r="N320" t="s">
        <v>77</v>
      </c>
      <c r="O320" t="s">
        <v>54</v>
      </c>
      <c r="P320" t="s">
        <v>78</v>
      </c>
      <c r="Q320" t="s">
        <v>113</v>
      </c>
      <c r="S320" t="s">
        <v>68</v>
      </c>
      <c r="V320" t="s">
        <v>59</v>
      </c>
      <c r="X320" t="s">
        <v>61</v>
      </c>
      <c r="Y320" t="s">
        <v>47</v>
      </c>
      <c r="AA320" t="s">
        <v>1858</v>
      </c>
      <c r="AF320" t="s">
        <v>469</v>
      </c>
      <c r="AI320" t="s">
        <v>470</v>
      </c>
      <c r="AJ320" t="s">
        <v>68</v>
      </c>
      <c r="AK320" t="s">
        <v>82</v>
      </c>
      <c r="AL320" t="s">
        <v>70</v>
      </c>
      <c r="AM320">
        <v>23</v>
      </c>
      <c r="AN320">
        <v>2026</v>
      </c>
      <c r="AO320" t="s">
        <v>71</v>
      </c>
      <c r="AP320">
        <v>31</v>
      </c>
      <c r="AQ320" t="s">
        <v>71</v>
      </c>
    </row>
    <row r="321" spans="1:43" x14ac:dyDescent="0.25">
      <c r="A321">
        <v>320</v>
      </c>
      <c r="B321" t="s">
        <v>1114</v>
      </c>
      <c r="C321" t="s">
        <v>1859</v>
      </c>
      <c r="D321" t="s">
        <v>1860</v>
      </c>
      <c r="E321" t="s">
        <v>1861</v>
      </c>
      <c r="F321" t="s">
        <v>47</v>
      </c>
      <c r="I321" t="s">
        <v>1219</v>
      </c>
      <c r="K321" s="2">
        <v>46226.323296955998</v>
      </c>
      <c r="L321" s="2">
        <v>46226.329914965303</v>
      </c>
      <c r="M321" t="s">
        <v>1433</v>
      </c>
      <c r="N321" t="s">
        <v>1434</v>
      </c>
      <c r="O321" t="s">
        <v>54</v>
      </c>
      <c r="P321" t="s">
        <v>55</v>
      </c>
      <c r="Q321" t="s">
        <v>161</v>
      </c>
      <c r="R321" t="s">
        <v>57</v>
      </c>
      <c r="S321" t="s">
        <v>1282</v>
      </c>
      <c r="V321" t="s">
        <v>59</v>
      </c>
      <c r="W321" t="s">
        <v>90</v>
      </c>
      <c r="X321" t="s">
        <v>61</v>
      </c>
      <c r="Y321" t="s">
        <v>47</v>
      </c>
      <c r="AA321" t="s">
        <v>1862</v>
      </c>
      <c r="AF321" t="s">
        <v>1222</v>
      </c>
      <c r="AI321" t="s">
        <v>1724</v>
      </c>
      <c r="AJ321" t="s">
        <v>68</v>
      </c>
      <c r="AK321" t="s">
        <v>248</v>
      </c>
      <c r="AL321" t="s">
        <v>70</v>
      </c>
      <c r="AM321">
        <v>23</v>
      </c>
      <c r="AN321">
        <v>2026</v>
      </c>
      <c r="AO321" t="s">
        <v>71</v>
      </c>
      <c r="AP321">
        <v>23</v>
      </c>
      <c r="AQ321" t="s">
        <v>71</v>
      </c>
    </row>
    <row r="322" spans="1:43" x14ac:dyDescent="0.25">
      <c r="A322">
        <v>321</v>
      </c>
      <c r="B322" t="s">
        <v>1122</v>
      </c>
      <c r="C322" t="s">
        <v>1863</v>
      </c>
      <c r="D322" t="s">
        <v>1864</v>
      </c>
      <c r="E322" t="s">
        <v>1865</v>
      </c>
      <c r="F322" t="s">
        <v>274</v>
      </c>
      <c r="G322" t="s">
        <v>1866</v>
      </c>
      <c r="H322" t="s">
        <v>1867</v>
      </c>
      <c r="I322" t="s">
        <v>1126</v>
      </c>
      <c r="J322" t="s">
        <v>51</v>
      </c>
      <c r="K322" s="2">
        <v>46227.455155011601</v>
      </c>
      <c r="L322" s="2">
        <v>46230.472413159703</v>
      </c>
      <c r="M322" t="s">
        <v>52</v>
      </c>
      <c r="N322" t="s">
        <v>53</v>
      </c>
      <c r="O322" t="s">
        <v>54</v>
      </c>
      <c r="P322" t="s">
        <v>55</v>
      </c>
      <c r="Q322" t="s">
        <v>405</v>
      </c>
      <c r="R322" t="s">
        <v>57</v>
      </c>
      <c r="S322" t="s">
        <v>58</v>
      </c>
      <c r="V322" t="s">
        <v>59</v>
      </c>
      <c r="W322" t="s">
        <v>90</v>
      </c>
      <c r="X322" t="s">
        <v>61</v>
      </c>
      <c r="Y322" t="s">
        <v>274</v>
      </c>
      <c r="Z322" t="s">
        <v>372</v>
      </c>
      <c r="AA322" t="s">
        <v>1868</v>
      </c>
      <c r="AB322">
        <v>213579000</v>
      </c>
      <c r="AC322" t="s">
        <v>58</v>
      </c>
      <c r="AD322" s="2">
        <v>46230</v>
      </c>
      <c r="AE322" t="s">
        <v>1869</v>
      </c>
      <c r="AF322" t="s">
        <v>1870</v>
      </c>
      <c r="AG322" t="s">
        <v>66</v>
      </c>
      <c r="AK322" t="s">
        <v>69</v>
      </c>
      <c r="AL322" t="s">
        <v>277</v>
      </c>
      <c r="AM322">
        <v>24</v>
      </c>
      <c r="AN322">
        <v>2026</v>
      </c>
      <c r="AO322" t="s">
        <v>71</v>
      </c>
      <c r="AP322">
        <v>27</v>
      </c>
      <c r="AQ322" t="s">
        <v>71</v>
      </c>
    </row>
    <row r="323" spans="1:43" x14ac:dyDescent="0.25">
      <c r="A323">
        <v>322</v>
      </c>
      <c r="B323" t="s">
        <v>83</v>
      </c>
      <c r="C323" t="s">
        <v>1871</v>
      </c>
      <c r="D323" t="s">
        <v>1872</v>
      </c>
      <c r="E323" t="s">
        <v>1873</v>
      </c>
      <c r="F323" t="s">
        <v>47</v>
      </c>
      <c r="H323" t="s">
        <v>1874</v>
      </c>
      <c r="I323" t="s">
        <v>193</v>
      </c>
      <c r="J323" t="s">
        <v>51</v>
      </c>
      <c r="K323" s="2">
        <v>46227.365341898098</v>
      </c>
      <c r="L323" s="2">
        <v>46231.931909178202</v>
      </c>
      <c r="M323" t="s">
        <v>241</v>
      </c>
      <c r="N323" t="s">
        <v>242</v>
      </c>
      <c r="O323" t="s">
        <v>54</v>
      </c>
      <c r="P323" t="s">
        <v>88</v>
      </c>
      <c r="Q323" t="s">
        <v>147</v>
      </c>
      <c r="R323" t="s">
        <v>306</v>
      </c>
      <c r="S323" t="s">
        <v>481</v>
      </c>
      <c r="V323" t="s">
        <v>59</v>
      </c>
      <c r="W323" t="s">
        <v>90</v>
      </c>
      <c r="X323" t="s">
        <v>61</v>
      </c>
      <c r="Y323" t="s">
        <v>47</v>
      </c>
      <c r="Z323" t="s">
        <v>255</v>
      </c>
      <c r="AA323" t="s">
        <v>1875</v>
      </c>
      <c r="AC323" t="s">
        <v>481</v>
      </c>
      <c r="AD323" s="2">
        <v>46230</v>
      </c>
      <c r="AE323" t="s">
        <v>495</v>
      </c>
      <c r="AF323" t="s">
        <v>195</v>
      </c>
      <c r="AG323" t="s">
        <v>246</v>
      </c>
      <c r="AI323" t="s">
        <v>918</v>
      </c>
      <c r="AJ323" t="s">
        <v>68</v>
      </c>
      <c r="AK323" t="s">
        <v>248</v>
      </c>
      <c r="AL323" t="s">
        <v>70</v>
      </c>
      <c r="AM323">
        <v>24</v>
      </c>
      <c r="AN323">
        <v>2026</v>
      </c>
      <c r="AO323" t="s">
        <v>71</v>
      </c>
      <c r="AP323">
        <v>28</v>
      </c>
      <c r="AQ323" t="s">
        <v>71</v>
      </c>
    </row>
    <row r="324" spans="1:43" x14ac:dyDescent="0.25">
      <c r="A324">
        <v>323</v>
      </c>
      <c r="B324" t="s">
        <v>83</v>
      </c>
      <c r="C324" t="s">
        <v>1876</v>
      </c>
      <c r="D324" t="s">
        <v>1877</v>
      </c>
      <c r="E324" t="s">
        <v>1878</v>
      </c>
      <c r="F324" t="s">
        <v>47</v>
      </c>
      <c r="I324" t="s">
        <v>87</v>
      </c>
      <c r="K324" s="2">
        <v>46227.535594212997</v>
      </c>
      <c r="L324" s="2">
        <v>46235.333354166702</v>
      </c>
      <c r="M324" t="s">
        <v>76</v>
      </c>
      <c r="N324" t="s">
        <v>77</v>
      </c>
      <c r="O324" t="s">
        <v>54</v>
      </c>
      <c r="P324" t="s">
        <v>88</v>
      </c>
      <c r="Q324" t="s">
        <v>89</v>
      </c>
      <c r="S324" t="s">
        <v>68</v>
      </c>
      <c r="V324" t="s">
        <v>59</v>
      </c>
      <c r="W324" t="s">
        <v>90</v>
      </c>
      <c r="X324" t="s">
        <v>61</v>
      </c>
      <c r="Y324" t="s">
        <v>47</v>
      </c>
      <c r="AA324" t="s">
        <v>1879</v>
      </c>
      <c r="AF324" t="s">
        <v>92</v>
      </c>
      <c r="AI324" t="s">
        <v>1880</v>
      </c>
      <c r="AJ324" t="s">
        <v>68</v>
      </c>
      <c r="AK324" t="s">
        <v>82</v>
      </c>
      <c r="AL324" t="s">
        <v>70</v>
      </c>
      <c r="AM324">
        <v>24</v>
      </c>
      <c r="AN324">
        <v>2026</v>
      </c>
      <c r="AO324" t="s">
        <v>71</v>
      </c>
      <c r="AP324">
        <v>1</v>
      </c>
      <c r="AQ324" t="s">
        <v>2589</v>
      </c>
    </row>
    <row r="325" spans="1:43" x14ac:dyDescent="0.25">
      <c r="A325">
        <v>324</v>
      </c>
      <c r="B325" t="s">
        <v>83</v>
      </c>
      <c r="C325" t="s">
        <v>1881</v>
      </c>
      <c r="D325" t="s">
        <v>1882</v>
      </c>
      <c r="E325" t="s">
        <v>1883</v>
      </c>
      <c r="F325" t="s">
        <v>47</v>
      </c>
      <c r="I325" t="s">
        <v>193</v>
      </c>
      <c r="K325" s="2">
        <v>46227.632760567103</v>
      </c>
      <c r="L325" s="2">
        <v>46227.649390277802</v>
      </c>
      <c r="M325" t="s">
        <v>76</v>
      </c>
      <c r="N325" t="s">
        <v>77</v>
      </c>
      <c r="O325" t="s">
        <v>54</v>
      </c>
      <c r="P325" t="s">
        <v>55</v>
      </c>
      <c r="Q325" t="s">
        <v>147</v>
      </c>
      <c r="R325" t="s">
        <v>57</v>
      </c>
      <c r="S325" t="s">
        <v>68</v>
      </c>
      <c r="V325" t="s">
        <v>59</v>
      </c>
      <c r="W325" t="s">
        <v>90</v>
      </c>
      <c r="X325" t="s">
        <v>61</v>
      </c>
      <c r="Y325" t="s">
        <v>47</v>
      </c>
      <c r="AA325" t="s">
        <v>1884</v>
      </c>
      <c r="AF325" t="s">
        <v>195</v>
      </c>
      <c r="AI325" t="s">
        <v>1885</v>
      </c>
      <c r="AJ325" t="s">
        <v>68</v>
      </c>
      <c r="AK325" t="s">
        <v>82</v>
      </c>
      <c r="AL325" t="s">
        <v>70</v>
      </c>
      <c r="AM325">
        <v>24</v>
      </c>
      <c r="AN325">
        <v>2026</v>
      </c>
      <c r="AO325" t="s">
        <v>71</v>
      </c>
      <c r="AP325">
        <v>24</v>
      </c>
      <c r="AQ325" t="s">
        <v>71</v>
      </c>
    </row>
    <row r="326" spans="1:43" x14ac:dyDescent="0.25">
      <c r="A326">
        <v>325</v>
      </c>
      <c r="B326" t="s">
        <v>83</v>
      </c>
      <c r="C326" t="s">
        <v>1886</v>
      </c>
      <c r="D326" t="s">
        <v>1887</v>
      </c>
      <c r="E326" t="s">
        <v>1888</v>
      </c>
      <c r="F326" t="s">
        <v>47</v>
      </c>
      <c r="I326" t="s">
        <v>193</v>
      </c>
      <c r="K326" s="2">
        <v>46227.635895023202</v>
      </c>
      <c r="L326" s="2">
        <v>46235.333354166702</v>
      </c>
      <c r="M326" t="s">
        <v>76</v>
      </c>
      <c r="N326" t="s">
        <v>77</v>
      </c>
      <c r="O326" t="s">
        <v>54</v>
      </c>
      <c r="P326" t="s">
        <v>815</v>
      </c>
      <c r="Q326" t="s">
        <v>621</v>
      </c>
      <c r="S326" t="s">
        <v>68</v>
      </c>
      <c r="V326" t="s">
        <v>59</v>
      </c>
      <c r="W326" t="s">
        <v>90</v>
      </c>
      <c r="X326" t="s">
        <v>61</v>
      </c>
      <c r="Y326" t="s">
        <v>47</v>
      </c>
      <c r="AA326" t="s">
        <v>1889</v>
      </c>
      <c r="AF326" t="s">
        <v>195</v>
      </c>
      <c r="AI326" t="s">
        <v>431</v>
      </c>
      <c r="AJ326" t="s">
        <v>68</v>
      </c>
      <c r="AK326" t="s">
        <v>82</v>
      </c>
      <c r="AL326" t="s">
        <v>70</v>
      </c>
      <c r="AM326">
        <v>24</v>
      </c>
      <c r="AN326">
        <v>2026</v>
      </c>
      <c r="AO326" t="s">
        <v>71</v>
      </c>
      <c r="AP326">
        <v>1</v>
      </c>
      <c r="AQ326" t="s">
        <v>2589</v>
      </c>
    </row>
    <row r="327" spans="1:43" x14ac:dyDescent="0.25">
      <c r="A327">
        <v>326</v>
      </c>
      <c r="B327" t="s">
        <v>83</v>
      </c>
      <c r="C327" t="s">
        <v>1890</v>
      </c>
      <c r="D327" t="s">
        <v>1891</v>
      </c>
      <c r="E327" t="s">
        <v>1892</v>
      </c>
      <c r="F327" t="s">
        <v>47</v>
      </c>
      <c r="I327" t="s">
        <v>193</v>
      </c>
      <c r="K327" s="2">
        <v>46227.650041284702</v>
      </c>
      <c r="L327" s="2">
        <v>46235.333354166702</v>
      </c>
      <c r="M327" t="s">
        <v>76</v>
      </c>
      <c r="N327" t="s">
        <v>77</v>
      </c>
      <c r="O327" t="s">
        <v>54</v>
      </c>
      <c r="P327" t="s">
        <v>174</v>
      </c>
      <c r="Q327" t="s">
        <v>113</v>
      </c>
      <c r="S327" t="s">
        <v>68</v>
      </c>
      <c r="V327" t="s">
        <v>59</v>
      </c>
      <c r="W327" t="s">
        <v>90</v>
      </c>
      <c r="X327" t="s">
        <v>61</v>
      </c>
      <c r="Y327" t="s">
        <v>47</v>
      </c>
      <c r="AA327" t="s">
        <v>1893</v>
      </c>
      <c r="AF327" t="s">
        <v>195</v>
      </c>
      <c r="AI327" t="s">
        <v>600</v>
      </c>
      <c r="AJ327" t="s">
        <v>68</v>
      </c>
      <c r="AK327" t="s">
        <v>82</v>
      </c>
      <c r="AL327" t="s">
        <v>70</v>
      </c>
      <c r="AM327">
        <v>24</v>
      </c>
      <c r="AN327">
        <v>2026</v>
      </c>
      <c r="AO327" t="s">
        <v>71</v>
      </c>
      <c r="AP327">
        <v>1</v>
      </c>
      <c r="AQ327" t="s">
        <v>2589</v>
      </c>
    </row>
    <row r="328" spans="1:43" x14ac:dyDescent="0.25">
      <c r="A328">
        <v>327</v>
      </c>
      <c r="B328" t="s">
        <v>106</v>
      </c>
      <c r="C328" t="s">
        <v>1894</v>
      </c>
      <c r="D328" t="s">
        <v>1895</v>
      </c>
      <c r="E328" t="s">
        <v>1896</v>
      </c>
      <c r="F328" t="s">
        <v>47</v>
      </c>
      <c r="I328" t="s">
        <v>112</v>
      </c>
      <c r="K328" s="2">
        <v>46227.591276539402</v>
      </c>
      <c r="L328" s="2">
        <v>46235.333354166702</v>
      </c>
      <c r="M328" t="s">
        <v>76</v>
      </c>
      <c r="N328" t="s">
        <v>77</v>
      </c>
      <c r="O328" t="s">
        <v>54</v>
      </c>
      <c r="P328" t="s">
        <v>88</v>
      </c>
      <c r="Q328" t="s">
        <v>113</v>
      </c>
      <c r="S328" t="s">
        <v>68</v>
      </c>
      <c r="V328" t="s">
        <v>59</v>
      </c>
      <c r="W328" t="s">
        <v>60</v>
      </c>
      <c r="X328" t="s">
        <v>61</v>
      </c>
      <c r="Y328" t="s">
        <v>47</v>
      </c>
      <c r="AA328" t="s">
        <v>1897</v>
      </c>
      <c r="AF328" t="s">
        <v>117</v>
      </c>
      <c r="AI328" t="s">
        <v>1898</v>
      </c>
      <c r="AJ328" t="s">
        <v>68</v>
      </c>
      <c r="AK328" t="s">
        <v>82</v>
      </c>
      <c r="AL328" t="s">
        <v>70</v>
      </c>
      <c r="AM328">
        <v>24</v>
      </c>
      <c r="AN328">
        <v>2026</v>
      </c>
      <c r="AO328" t="s">
        <v>71</v>
      </c>
      <c r="AP328">
        <v>1</v>
      </c>
      <c r="AQ328" t="s">
        <v>2589</v>
      </c>
    </row>
    <row r="329" spans="1:43" x14ac:dyDescent="0.25">
      <c r="A329">
        <v>328</v>
      </c>
      <c r="B329" t="s">
        <v>213</v>
      </c>
      <c r="C329" t="s">
        <v>1899</v>
      </c>
      <c r="D329" t="s">
        <v>1900</v>
      </c>
      <c r="E329" t="s">
        <v>1901</v>
      </c>
      <c r="F329" t="s">
        <v>47</v>
      </c>
      <c r="I329" t="s">
        <v>217</v>
      </c>
      <c r="K329" s="2">
        <v>46227.614145567102</v>
      </c>
      <c r="L329" s="2">
        <v>46235.333354166702</v>
      </c>
      <c r="M329" t="s">
        <v>76</v>
      </c>
      <c r="N329" t="s">
        <v>77</v>
      </c>
      <c r="O329" t="s">
        <v>54</v>
      </c>
      <c r="P329" t="s">
        <v>88</v>
      </c>
      <c r="Q329" t="s">
        <v>161</v>
      </c>
      <c r="S329" t="s">
        <v>68</v>
      </c>
      <c r="V329" t="s">
        <v>59</v>
      </c>
      <c r="W329" t="s">
        <v>90</v>
      </c>
      <c r="X329" t="s">
        <v>61</v>
      </c>
      <c r="Y329" t="s">
        <v>47</v>
      </c>
      <c r="AA329" t="s">
        <v>1902</v>
      </c>
      <c r="AF329" t="s">
        <v>1792</v>
      </c>
      <c r="AI329" t="s">
        <v>739</v>
      </c>
      <c r="AJ329" t="s">
        <v>68</v>
      </c>
      <c r="AK329" t="s">
        <v>82</v>
      </c>
      <c r="AL329" t="s">
        <v>70</v>
      </c>
      <c r="AM329">
        <v>24</v>
      </c>
      <c r="AN329">
        <v>2026</v>
      </c>
      <c r="AO329" t="s">
        <v>71</v>
      </c>
      <c r="AP329">
        <v>1</v>
      </c>
      <c r="AQ329" t="s">
        <v>2589</v>
      </c>
    </row>
    <row r="330" spans="1:43" x14ac:dyDescent="0.25">
      <c r="A330">
        <v>329</v>
      </c>
      <c r="B330" t="s">
        <v>345</v>
      </c>
      <c r="C330" t="s">
        <v>1903</v>
      </c>
      <c r="D330" t="s">
        <v>1904</v>
      </c>
      <c r="E330" t="s">
        <v>1905</v>
      </c>
      <c r="F330" t="s">
        <v>47</v>
      </c>
      <c r="I330" t="s">
        <v>435</v>
      </c>
      <c r="K330" s="2">
        <v>46227.486408101897</v>
      </c>
      <c r="L330" s="2">
        <v>46235.333354166702</v>
      </c>
      <c r="M330" t="s">
        <v>76</v>
      </c>
      <c r="N330" t="s">
        <v>77</v>
      </c>
      <c r="O330" t="s">
        <v>54</v>
      </c>
      <c r="P330" t="s">
        <v>285</v>
      </c>
      <c r="Q330" t="s">
        <v>126</v>
      </c>
      <c r="S330" t="s">
        <v>68</v>
      </c>
      <c r="V330" t="s">
        <v>59</v>
      </c>
      <c r="W330" t="s">
        <v>90</v>
      </c>
      <c r="X330" t="s">
        <v>61</v>
      </c>
      <c r="Y330" t="s">
        <v>47</v>
      </c>
      <c r="AA330" t="s">
        <v>1906</v>
      </c>
      <c r="AF330" t="s">
        <v>65</v>
      </c>
      <c r="AI330" t="s">
        <v>438</v>
      </c>
      <c r="AJ330" t="s">
        <v>68</v>
      </c>
      <c r="AK330" t="s">
        <v>82</v>
      </c>
      <c r="AL330" t="s">
        <v>70</v>
      </c>
      <c r="AM330">
        <v>24</v>
      </c>
      <c r="AN330">
        <v>2026</v>
      </c>
      <c r="AO330" t="s">
        <v>71</v>
      </c>
      <c r="AP330">
        <v>1</v>
      </c>
      <c r="AQ330" t="s">
        <v>2589</v>
      </c>
    </row>
    <row r="331" spans="1:43" x14ac:dyDescent="0.25">
      <c r="A331">
        <v>330</v>
      </c>
      <c r="B331" t="s">
        <v>345</v>
      </c>
      <c r="C331" t="s">
        <v>1907</v>
      </c>
      <c r="D331" t="s">
        <v>1908</v>
      </c>
      <c r="E331" t="s">
        <v>1909</v>
      </c>
      <c r="F331" t="s">
        <v>47</v>
      </c>
      <c r="I331" t="s">
        <v>351</v>
      </c>
      <c r="K331" s="2">
        <v>46227.977225312497</v>
      </c>
      <c r="L331" s="2">
        <v>46233.406097766201</v>
      </c>
      <c r="M331" t="s">
        <v>1433</v>
      </c>
      <c r="N331" t="s">
        <v>1434</v>
      </c>
      <c r="O331" t="s">
        <v>54</v>
      </c>
      <c r="P331" t="s">
        <v>55</v>
      </c>
      <c r="Q331" t="s">
        <v>571</v>
      </c>
      <c r="R331" t="s">
        <v>1232</v>
      </c>
      <c r="S331" t="s">
        <v>1282</v>
      </c>
      <c r="T331" t="s">
        <v>68</v>
      </c>
      <c r="U331" t="s">
        <v>68</v>
      </c>
      <c r="V331" t="s">
        <v>59</v>
      </c>
      <c r="W331" t="s">
        <v>90</v>
      </c>
      <c r="X331" t="s">
        <v>61</v>
      </c>
      <c r="Y331" t="s">
        <v>47</v>
      </c>
      <c r="AA331" t="s">
        <v>1910</v>
      </c>
      <c r="AF331" t="s">
        <v>65</v>
      </c>
      <c r="AI331" t="s">
        <v>1519</v>
      </c>
      <c r="AJ331" t="s">
        <v>68</v>
      </c>
      <c r="AK331" t="s">
        <v>248</v>
      </c>
      <c r="AL331" t="s">
        <v>70</v>
      </c>
      <c r="AM331">
        <v>24</v>
      </c>
      <c r="AN331">
        <v>2026</v>
      </c>
      <c r="AO331" t="s">
        <v>71</v>
      </c>
      <c r="AP331">
        <v>30</v>
      </c>
      <c r="AQ331" t="s">
        <v>71</v>
      </c>
    </row>
    <row r="332" spans="1:43" x14ac:dyDescent="0.25">
      <c r="A332">
        <v>331</v>
      </c>
      <c r="B332" t="s">
        <v>1073</v>
      </c>
      <c r="C332" t="s">
        <v>1911</v>
      </c>
      <c r="D332" t="s">
        <v>1912</v>
      </c>
      <c r="E332" t="s">
        <v>1913</v>
      </c>
      <c r="F332" t="s">
        <v>47</v>
      </c>
      <c r="I332" t="s">
        <v>1268</v>
      </c>
      <c r="K332" s="2">
        <v>46227.564222141198</v>
      </c>
      <c r="L332" s="2">
        <v>46237.333353668997</v>
      </c>
      <c r="M332" t="s">
        <v>76</v>
      </c>
      <c r="N332" t="s">
        <v>77</v>
      </c>
      <c r="O332" t="s">
        <v>54</v>
      </c>
      <c r="P332" t="s">
        <v>598</v>
      </c>
      <c r="Q332" t="s">
        <v>296</v>
      </c>
      <c r="S332" t="s">
        <v>68</v>
      </c>
      <c r="V332" t="s">
        <v>59</v>
      </c>
      <c r="W332" t="s">
        <v>60</v>
      </c>
      <c r="X332" t="s">
        <v>61</v>
      </c>
      <c r="Y332" t="s">
        <v>47</v>
      </c>
      <c r="AA332" t="s">
        <v>1914</v>
      </c>
      <c r="AF332" t="s">
        <v>495</v>
      </c>
      <c r="AI332" t="s">
        <v>1915</v>
      </c>
      <c r="AJ332" t="s">
        <v>68</v>
      </c>
      <c r="AK332" t="s">
        <v>82</v>
      </c>
      <c r="AL332" t="s">
        <v>70</v>
      </c>
      <c r="AM332">
        <v>24</v>
      </c>
      <c r="AN332">
        <v>2026</v>
      </c>
      <c r="AO332" t="s">
        <v>71</v>
      </c>
      <c r="AP332">
        <v>3</v>
      </c>
      <c r="AQ332" t="s">
        <v>2589</v>
      </c>
    </row>
    <row r="333" spans="1:43" x14ac:dyDescent="0.25">
      <c r="A333">
        <v>332</v>
      </c>
      <c r="B333" t="s">
        <v>1073</v>
      </c>
      <c r="C333" t="s">
        <v>1916</v>
      </c>
      <c r="D333" t="s">
        <v>1917</v>
      </c>
      <c r="E333" t="s">
        <v>1918</v>
      </c>
      <c r="F333" t="s">
        <v>47</v>
      </c>
      <c r="I333" t="s">
        <v>1268</v>
      </c>
      <c r="K333" s="2">
        <v>46227.567094131897</v>
      </c>
      <c r="L333" s="2">
        <v>46227.573018599498</v>
      </c>
      <c r="M333" t="s">
        <v>76</v>
      </c>
      <c r="N333" t="s">
        <v>77</v>
      </c>
      <c r="O333" t="s">
        <v>54</v>
      </c>
      <c r="P333" t="s">
        <v>598</v>
      </c>
      <c r="Q333" t="s">
        <v>296</v>
      </c>
      <c r="R333" t="s">
        <v>57</v>
      </c>
      <c r="S333" t="s">
        <v>68</v>
      </c>
      <c r="V333" t="s">
        <v>59</v>
      </c>
      <c r="W333" t="s">
        <v>60</v>
      </c>
      <c r="X333" t="s">
        <v>61</v>
      </c>
      <c r="Y333" t="s">
        <v>47</v>
      </c>
      <c r="AA333" t="s">
        <v>1919</v>
      </c>
      <c r="AF333" t="s">
        <v>495</v>
      </c>
      <c r="AI333" t="s">
        <v>1915</v>
      </c>
      <c r="AJ333" t="s">
        <v>68</v>
      </c>
      <c r="AK333" t="s">
        <v>82</v>
      </c>
      <c r="AL333" t="s">
        <v>70</v>
      </c>
      <c r="AM333">
        <v>24</v>
      </c>
      <c r="AN333">
        <v>2026</v>
      </c>
      <c r="AO333" t="s">
        <v>71</v>
      </c>
      <c r="AP333">
        <v>24</v>
      </c>
      <c r="AQ333" t="s">
        <v>71</v>
      </c>
    </row>
    <row r="334" spans="1:43" x14ac:dyDescent="0.25">
      <c r="A334">
        <v>333</v>
      </c>
      <c r="B334" t="s">
        <v>1073</v>
      </c>
      <c r="C334" t="s">
        <v>1920</v>
      </c>
      <c r="D334" t="s">
        <v>1921</v>
      </c>
      <c r="E334" t="s">
        <v>1922</v>
      </c>
      <c r="F334" t="s">
        <v>47</v>
      </c>
      <c r="I334" t="s">
        <v>1534</v>
      </c>
      <c r="K334" s="2">
        <v>46227.621280173596</v>
      </c>
      <c r="L334" s="2">
        <v>46235.333354166702</v>
      </c>
      <c r="M334" t="s">
        <v>76</v>
      </c>
      <c r="N334" t="s">
        <v>77</v>
      </c>
      <c r="O334" t="s">
        <v>54</v>
      </c>
      <c r="P334" t="s">
        <v>55</v>
      </c>
      <c r="Q334" t="s">
        <v>185</v>
      </c>
      <c r="S334" t="s">
        <v>68</v>
      </c>
      <c r="V334" t="s">
        <v>59</v>
      </c>
      <c r="W334" t="s">
        <v>60</v>
      </c>
      <c r="X334" t="s">
        <v>61</v>
      </c>
      <c r="Y334" t="s">
        <v>47</v>
      </c>
      <c r="AA334" t="s">
        <v>1923</v>
      </c>
      <c r="AF334" t="s">
        <v>65</v>
      </c>
      <c r="AI334" t="s">
        <v>1733</v>
      </c>
      <c r="AJ334" t="s">
        <v>68</v>
      </c>
      <c r="AK334" t="s">
        <v>82</v>
      </c>
      <c r="AL334" t="s">
        <v>70</v>
      </c>
      <c r="AM334">
        <v>24</v>
      </c>
      <c r="AN334">
        <v>2026</v>
      </c>
      <c r="AO334" t="s">
        <v>71</v>
      </c>
      <c r="AP334">
        <v>1</v>
      </c>
      <c r="AQ334" t="s">
        <v>2589</v>
      </c>
    </row>
    <row r="335" spans="1:43" x14ac:dyDescent="0.25">
      <c r="A335">
        <v>334</v>
      </c>
      <c r="B335" t="s">
        <v>229</v>
      </c>
      <c r="C335" t="s">
        <v>1924</v>
      </c>
      <c r="D335" t="s">
        <v>1925</v>
      </c>
      <c r="E335" t="s">
        <v>1926</v>
      </c>
      <c r="F335" t="s">
        <v>47</v>
      </c>
      <c r="I335" t="s">
        <v>233</v>
      </c>
      <c r="K335" s="2">
        <v>46227.622046608798</v>
      </c>
      <c r="L335" s="2">
        <v>46227.631992245399</v>
      </c>
      <c r="M335" t="s">
        <v>1433</v>
      </c>
      <c r="N335" t="s">
        <v>1434</v>
      </c>
      <c r="O335" t="s">
        <v>54</v>
      </c>
      <c r="P335" t="s">
        <v>55</v>
      </c>
      <c r="Q335" t="s">
        <v>405</v>
      </c>
      <c r="R335" t="s">
        <v>57</v>
      </c>
      <c r="S335" t="s">
        <v>1282</v>
      </c>
      <c r="V335" t="s">
        <v>59</v>
      </c>
      <c r="W335" t="s">
        <v>90</v>
      </c>
      <c r="X335" t="s">
        <v>61</v>
      </c>
      <c r="Y335" t="s">
        <v>47</v>
      </c>
      <c r="AA335" t="s">
        <v>1927</v>
      </c>
      <c r="AF335" t="s">
        <v>245</v>
      </c>
      <c r="AI335" t="s">
        <v>1665</v>
      </c>
      <c r="AJ335" t="s">
        <v>68</v>
      </c>
      <c r="AK335" t="s">
        <v>248</v>
      </c>
      <c r="AL335" t="s">
        <v>70</v>
      </c>
      <c r="AM335">
        <v>24</v>
      </c>
      <c r="AN335">
        <v>2026</v>
      </c>
      <c r="AO335" t="s">
        <v>71</v>
      </c>
      <c r="AP335">
        <v>24</v>
      </c>
      <c r="AQ335" t="s">
        <v>71</v>
      </c>
    </row>
    <row r="336" spans="1:43" x14ac:dyDescent="0.25">
      <c r="A336">
        <v>335</v>
      </c>
      <c r="B336" t="s">
        <v>249</v>
      </c>
      <c r="C336" t="s">
        <v>1928</v>
      </c>
      <c r="D336" t="s">
        <v>1929</v>
      </c>
      <c r="E336" t="s">
        <v>1930</v>
      </c>
      <c r="F336" t="s">
        <v>47</v>
      </c>
      <c r="I336" t="s">
        <v>254</v>
      </c>
      <c r="K336" s="2">
        <v>46227.571537384298</v>
      </c>
      <c r="L336" s="2">
        <v>46235.333354166702</v>
      </c>
      <c r="M336" t="s">
        <v>76</v>
      </c>
      <c r="N336" t="s">
        <v>77</v>
      </c>
      <c r="O336" t="s">
        <v>54</v>
      </c>
      <c r="P336" t="s">
        <v>174</v>
      </c>
      <c r="Q336" t="s">
        <v>405</v>
      </c>
      <c r="S336" t="s">
        <v>68</v>
      </c>
      <c r="V336" t="s">
        <v>59</v>
      </c>
      <c r="W336" t="s">
        <v>90</v>
      </c>
      <c r="X336" t="s">
        <v>61</v>
      </c>
      <c r="Y336" t="s">
        <v>47</v>
      </c>
      <c r="AA336" t="s">
        <v>1931</v>
      </c>
      <c r="AF336" t="s">
        <v>92</v>
      </c>
      <c r="AI336" t="s">
        <v>1554</v>
      </c>
      <c r="AJ336" t="s">
        <v>68</v>
      </c>
      <c r="AK336" t="s">
        <v>82</v>
      </c>
      <c r="AL336" t="s">
        <v>70</v>
      </c>
      <c r="AM336">
        <v>24</v>
      </c>
      <c r="AN336">
        <v>2026</v>
      </c>
      <c r="AO336" t="s">
        <v>71</v>
      </c>
      <c r="AP336">
        <v>1</v>
      </c>
      <c r="AQ336" t="s">
        <v>2589</v>
      </c>
    </row>
    <row r="337" spans="1:43" x14ac:dyDescent="0.25">
      <c r="A337">
        <v>336</v>
      </c>
      <c r="B337" t="s">
        <v>249</v>
      </c>
      <c r="C337" t="s">
        <v>1932</v>
      </c>
      <c r="D337" t="s">
        <v>1933</v>
      </c>
      <c r="E337" t="s">
        <v>1934</v>
      </c>
      <c r="F337" t="s">
        <v>47</v>
      </c>
      <c r="I337" t="s">
        <v>254</v>
      </c>
      <c r="K337" s="2">
        <v>46227.595636655104</v>
      </c>
      <c r="L337" s="2">
        <v>46235.333354166702</v>
      </c>
      <c r="M337" t="s">
        <v>76</v>
      </c>
      <c r="N337" t="s">
        <v>77</v>
      </c>
      <c r="O337" t="s">
        <v>54</v>
      </c>
      <c r="P337" t="s">
        <v>174</v>
      </c>
      <c r="Q337" t="s">
        <v>405</v>
      </c>
      <c r="S337" t="s">
        <v>68</v>
      </c>
      <c r="V337" t="s">
        <v>59</v>
      </c>
      <c r="W337" t="s">
        <v>90</v>
      </c>
      <c r="X337" t="s">
        <v>61</v>
      </c>
      <c r="Y337" t="s">
        <v>47</v>
      </c>
      <c r="AA337" t="s">
        <v>1935</v>
      </c>
      <c r="AF337" t="s">
        <v>92</v>
      </c>
      <c r="AI337" t="s">
        <v>1554</v>
      </c>
      <c r="AJ337" t="s">
        <v>68</v>
      </c>
      <c r="AK337" t="s">
        <v>82</v>
      </c>
      <c r="AL337" t="s">
        <v>70</v>
      </c>
      <c r="AM337">
        <v>24</v>
      </c>
      <c r="AN337">
        <v>2026</v>
      </c>
      <c r="AO337" t="s">
        <v>71</v>
      </c>
      <c r="AP337">
        <v>1</v>
      </c>
      <c r="AQ337" t="s">
        <v>2589</v>
      </c>
    </row>
    <row r="338" spans="1:43" x14ac:dyDescent="0.25">
      <c r="A338">
        <v>337</v>
      </c>
      <c r="B338" t="s">
        <v>249</v>
      </c>
      <c r="C338" t="s">
        <v>1936</v>
      </c>
      <c r="D338" t="s">
        <v>1937</v>
      </c>
      <c r="E338" t="s">
        <v>1938</v>
      </c>
      <c r="F338" t="s">
        <v>47</v>
      </c>
      <c r="I338" t="s">
        <v>254</v>
      </c>
      <c r="K338" s="2">
        <v>46227.808011192101</v>
      </c>
      <c r="L338" s="2">
        <v>46227.816091631903</v>
      </c>
      <c r="M338" t="s">
        <v>76</v>
      </c>
      <c r="N338" t="s">
        <v>77</v>
      </c>
      <c r="O338" t="s">
        <v>54</v>
      </c>
      <c r="P338" t="s">
        <v>55</v>
      </c>
      <c r="Q338" t="s">
        <v>147</v>
      </c>
      <c r="R338" t="s">
        <v>57</v>
      </c>
      <c r="S338" t="s">
        <v>68</v>
      </c>
      <c r="V338" t="s">
        <v>59</v>
      </c>
      <c r="W338" t="s">
        <v>90</v>
      </c>
      <c r="X338" t="s">
        <v>61</v>
      </c>
      <c r="Y338" t="s">
        <v>47</v>
      </c>
      <c r="AA338" t="s">
        <v>1939</v>
      </c>
      <c r="AF338" t="s">
        <v>92</v>
      </c>
      <c r="AI338" t="s">
        <v>551</v>
      </c>
      <c r="AJ338" t="s">
        <v>68</v>
      </c>
      <c r="AK338" t="s">
        <v>82</v>
      </c>
      <c r="AL338" t="s">
        <v>70</v>
      </c>
      <c r="AM338">
        <v>24</v>
      </c>
      <c r="AN338">
        <v>2026</v>
      </c>
      <c r="AO338" t="s">
        <v>71</v>
      </c>
      <c r="AP338">
        <v>24</v>
      </c>
      <c r="AQ338" t="s">
        <v>71</v>
      </c>
    </row>
    <row r="339" spans="1:43" x14ac:dyDescent="0.25">
      <c r="A339">
        <v>338</v>
      </c>
      <c r="B339" t="s">
        <v>664</v>
      </c>
      <c r="C339" t="s">
        <v>1940</v>
      </c>
      <c r="D339" t="s">
        <v>1941</v>
      </c>
      <c r="E339" t="s">
        <v>1942</v>
      </c>
      <c r="F339" t="s">
        <v>47</v>
      </c>
      <c r="H339" t="s">
        <v>1943</v>
      </c>
      <c r="I339" t="s">
        <v>670</v>
      </c>
      <c r="J339" t="s">
        <v>51</v>
      </c>
      <c r="K339" s="2">
        <v>46227.441005671302</v>
      </c>
      <c r="L339" s="2">
        <v>46231.645742905101</v>
      </c>
      <c r="M339" t="s">
        <v>241</v>
      </c>
      <c r="N339" t="s">
        <v>242</v>
      </c>
      <c r="O339" t="s">
        <v>54</v>
      </c>
      <c r="P339" t="s">
        <v>88</v>
      </c>
      <c r="Q339" t="s">
        <v>218</v>
      </c>
      <c r="R339" t="s">
        <v>57</v>
      </c>
      <c r="S339" t="s">
        <v>58</v>
      </c>
      <c r="V339" t="s">
        <v>59</v>
      </c>
      <c r="W339" t="s">
        <v>90</v>
      </c>
      <c r="X339" t="s">
        <v>61</v>
      </c>
      <c r="Y339" t="s">
        <v>47</v>
      </c>
      <c r="Z339" t="s">
        <v>255</v>
      </c>
      <c r="AA339" t="s">
        <v>1944</v>
      </c>
      <c r="AC339" t="s">
        <v>58</v>
      </c>
      <c r="AD339" s="2">
        <v>46231</v>
      </c>
      <c r="AE339" t="s">
        <v>245</v>
      </c>
      <c r="AF339" t="s">
        <v>245</v>
      </c>
      <c r="AG339" t="s">
        <v>246</v>
      </c>
      <c r="AI339" t="s">
        <v>1945</v>
      </c>
      <c r="AJ339" t="s">
        <v>68</v>
      </c>
      <c r="AK339" t="s">
        <v>248</v>
      </c>
      <c r="AL339" t="s">
        <v>70</v>
      </c>
      <c r="AM339">
        <v>24</v>
      </c>
      <c r="AN339">
        <v>2026</v>
      </c>
      <c r="AO339" t="s">
        <v>71</v>
      </c>
      <c r="AP339">
        <v>28</v>
      </c>
      <c r="AQ339" t="s">
        <v>71</v>
      </c>
    </row>
    <row r="340" spans="1:43" x14ac:dyDescent="0.25">
      <c r="A340">
        <v>339</v>
      </c>
      <c r="B340" t="s">
        <v>278</v>
      </c>
      <c r="C340" t="s">
        <v>1946</v>
      </c>
      <c r="D340" t="s">
        <v>1947</v>
      </c>
      <c r="E340" t="s">
        <v>1948</v>
      </c>
      <c r="F340" t="s">
        <v>47</v>
      </c>
      <c r="I340" t="s">
        <v>284</v>
      </c>
      <c r="K340" s="2">
        <v>46227.655855173602</v>
      </c>
      <c r="L340" s="2">
        <v>46227.666791979202</v>
      </c>
      <c r="M340" t="s">
        <v>76</v>
      </c>
      <c r="N340" t="s">
        <v>77</v>
      </c>
      <c r="O340" t="s">
        <v>54</v>
      </c>
      <c r="P340" t="s">
        <v>55</v>
      </c>
      <c r="Q340" t="s">
        <v>161</v>
      </c>
      <c r="R340" t="s">
        <v>57</v>
      </c>
      <c r="S340" t="s">
        <v>68</v>
      </c>
      <c r="V340" t="s">
        <v>59</v>
      </c>
      <c r="W340" t="s">
        <v>90</v>
      </c>
      <c r="X340" t="s">
        <v>61</v>
      </c>
      <c r="Y340" t="s">
        <v>47</v>
      </c>
      <c r="AA340" t="s">
        <v>1949</v>
      </c>
      <c r="AF340" t="s">
        <v>289</v>
      </c>
      <c r="AI340" t="s">
        <v>799</v>
      </c>
      <c r="AJ340" t="s">
        <v>68</v>
      </c>
      <c r="AK340" t="s">
        <v>82</v>
      </c>
      <c r="AL340" t="s">
        <v>70</v>
      </c>
      <c r="AM340">
        <v>24</v>
      </c>
      <c r="AN340">
        <v>2026</v>
      </c>
      <c r="AO340" t="s">
        <v>71</v>
      </c>
      <c r="AP340">
        <v>24</v>
      </c>
      <c r="AQ340" t="s">
        <v>71</v>
      </c>
    </row>
    <row r="341" spans="1:43" x14ac:dyDescent="0.25">
      <c r="A341">
        <v>340</v>
      </c>
      <c r="B341" t="s">
        <v>83</v>
      </c>
      <c r="C341" t="s">
        <v>1950</v>
      </c>
      <c r="D341" t="s">
        <v>1951</v>
      </c>
      <c r="E341" t="s">
        <v>1952</v>
      </c>
      <c r="F341" t="s">
        <v>47</v>
      </c>
      <c r="G341" t="s">
        <v>1953</v>
      </c>
      <c r="H341" t="s">
        <v>1954</v>
      </c>
      <c r="I341" t="s">
        <v>193</v>
      </c>
      <c r="J341" t="s">
        <v>51</v>
      </c>
      <c r="K341" s="2">
        <v>46228.329085069403</v>
      </c>
      <c r="L341" s="2">
        <v>46230.603496955999</v>
      </c>
      <c r="M341" t="s">
        <v>52</v>
      </c>
      <c r="N341" t="s">
        <v>53</v>
      </c>
      <c r="O341" t="s">
        <v>54</v>
      </c>
      <c r="P341" t="s">
        <v>78</v>
      </c>
      <c r="Q341" t="s">
        <v>893</v>
      </c>
      <c r="R341" t="s">
        <v>306</v>
      </c>
      <c r="S341" t="s">
        <v>58</v>
      </c>
      <c r="V341" t="s">
        <v>59</v>
      </c>
      <c r="W341" t="s">
        <v>90</v>
      </c>
      <c r="X341" t="s">
        <v>61</v>
      </c>
      <c r="Y341" t="s">
        <v>47</v>
      </c>
      <c r="Z341" t="s">
        <v>186</v>
      </c>
      <c r="AA341" t="s">
        <v>1955</v>
      </c>
      <c r="AB341">
        <v>49700000</v>
      </c>
      <c r="AC341" t="s">
        <v>58</v>
      </c>
      <c r="AD341" s="2">
        <v>46230</v>
      </c>
      <c r="AE341" t="s">
        <v>1956</v>
      </c>
      <c r="AF341" t="s">
        <v>195</v>
      </c>
      <c r="AG341" t="s">
        <v>66</v>
      </c>
      <c r="AI341" t="s">
        <v>179</v>
      </c>
      <c r="AJ341" t="s">
        <v>68</v>
      </c>
      <c r="AK341" t="s">
        <v>69</v>
      </c>
      <c r="AL341" t="s">
        <v>70</v>
      </c>
      <c r="AM341">
        <v>25</v>
      </c>
      <c r="AN341">
        <v>2026</v>
      </c>
      <c r="AO341" t="s">
        <v>71</v>
      </c>
      <c r="AP341">
        <v>27</v>
      </c>
      <c r="AQ341" t="s">
        <v>71</v>
      </c>
    </row>
    <row r="342" spans="1:43" x14ac:dyDescent="0.25">
      <c r="A342">
        <v>341</v>
      </c>
      <c r="B342" t="s">
        <v>345</v>
      </c>
      <c r="C342" t="s">
        <v>1957</v>
      </c>
      <c r="D342" t="s">
        <v>1958</v>
      </c>
      <c r="E342" t="s">
        <v>1959</v>
      </c>
      <c r="F342" t="s">
        <v>274</v>
      </c>
      <c r="I342" t="s">
        <v>351</v>
      </c>
      <c r="J342" t="s">
        <v>51</v>
      </c>
      <c r="K342" s="2">
        <v>46228.632603669001</v>
      </c>
      <c r="L342" s="2">
        <v>46228.649385069402</v>
      </c>
      <c r="M342" t="s">
        <v>76</v>
      </c>
      <c r="N342" t="s">
        <v>77</v>
      </c>
      <c r="O342" t="s">
        <v>54</v>
      </c>
      <c r="P342" t="s">
        <v>78</v>
      </c>
      <c r="Q342" t="s">
        <v>113</v>
      </c>
      <c r="R342" t="s">
        <v>57</v>
      </c>
      <c r="S342" t="s">
        <v>68</v>
      </c>
      <c r="V342" t="s">
        <v>59</v>
      </c>
      <c r="W342" t="s">
        <v>90</v>
      </c>
      <c r="X342" t="s">
        <v>61</v>
      </c>
      <c r="Y342" t="s">
        <v>274</v>
      </c>
      <c r="AA342" t="s">
        <v>1960</v>
      </c>
      <c r="AF342" t="s">
        <v>65</v>
      </c>
      <c r="AG342" t="s">
        <v>246</v>
      </c>
      <c r="AK342" t="s">
        <v>82</v>
      </c>
      <c r="AL342" t="s">
        <v>277</v>
      </c>
      <c r="AM342">
        <v>25</v>
      </c>
      <c r="AN342">
        <v>2026</v>
      </c>
      <c r="AO342" t="s">
        <v>71</v>
      </c>
      <c r="AP342">
        <v>25</v>
      </c>
      <c r="AQ342" t="s">
        <v>71</v>
      </c>
    </row>
    <row r="343" spans="1:43" x14ac:dyDescent="0.25">
      <c r="A343">
        <v>342</v>
      </c>
      <c r="B343" t="s">
        <v>1073</v>
      </c>
      <c r="C343" t="s">
        <v>1911</v>
      </c>
      <c r="D343" t="s">
        <v>1961</v>
      </c>
      <c r="E343" t="s">
        <v>1962</v>
      </c>
      <c r="F343" t="s">
        <v>47</v>
      </c>
      <c r="I343" t="s">
        <v>1268</v>
      </c>
      <c r="K343" s="2">
        <v>46228.430794525499</v>
      </c>
      <c r="L343" s="2">
        <v>46228.4445172454</v>
      </c>
      <c r="M343" t="s">
        <v>76</v>
      </c>
      <c r="N343" t="s">
        <v>77</v>
      </c>
      <c r="O343" t="s">
        <v>54</v>
      </c>
      <c r="P343" t="s">
        <v>598</v>
      </c>
      <c r="Q343" t="s">
        <v>296</v>
      </c>
      <c r="R343" t="s">
        <v>57</v>
      </c>
      <c r="S343" t="s">
        <v>68</v>
      </c>
      <c r="V343" t="s">
        <v>59</v>
      </c>
      <c r="W343" t="s">
        <v>60</v>
      </c>
      <c r="X343" t="s">
        <v>61</v>
      </c>
      <c r="Y343" t="s">
        <v>47</v>
      </c>
      <c r="AA343" t="s">
        <v>1963</v>
      </c>
      <c r="AF343" t="s">
        <v>65</v>
      </c>
      <c r="AI343" t="s">
        <v>1915</v>
      </c>
      <c r="AJ343" t="s">
        <v>68</v>
      </c>
      <c r="AK343" t="s">
        <v>82</v>
      </c>
      <c r="AL343" t="s">
        <v>70</v>
      </c>
      <c r="AM343">
        <v>25</v>
      </c>
      <c r="AN343">
        <v>2026</v>
      </c>
      <c r="AO343" t="s">
        <v>71</v>
      </c>
      <c r="AP343">
        <v>25</v>
      </c>
      <c r="AQ343" t="s">
        <v>71</v>
      </c>
    </row>
    <row r="344" spans="1:43" x14ac:dyDescent="0.25">
      <c r="A344">
        <v>343</v>
      </c>
      <c r="B344" t="s">
        <v>1073</v>
      </c>
      <c r="C344" t="s">
        <v>1964</v>
      </c>
      <c r="D344" t="s">
        <v>1965</v>
      </c>
      <c r="E344" t="s">
        <v>1966</v>
      </c>
      <c r="F344" t="s">
        <v>47</v>
      </c>
      <c r="I344" t="s">
        <v>1268</v>
      </c>
      <c r="K344" s="2">
        <v>46228.659232407401</v>
      </c>
      <c r="L344" s="2">
        <v>46236.333348113403</v>
      </c>
      <c r="M344" t="s">
        <v>76</v>
      </c>
      <c r="N344" t="s">
        <v>77</v>
      </c>
      <c r="O344" t="s">
        <v>54</v>
      </c>
      <c r="P344" t="s">
        <v>88</v>
      </c>
      <c r="Q344" t="s">
        <v>56</v>
      </c>
      <c r="S344" t="s">
        <v>68</v>
      </c>
      <c r="V344" t="s">
        <v>59</v>
      </c>
      <c r="W344" t="s">
        <v>60</v>
      </c>
      <c r="X344" t="s">
        <v>61</v>
      </c>
      <c r="Y344" t="s">
        <v>47</v>
      </c>
      <c r="AA344" t="s">
        <v>1967</v>
      </c>
      <c r="AF344" t="s">
        <v>65</v>
      </c>
      <c r="AI344" t="s">
        <v>1968</v>
      </c>
      <c r="AJ344" t="s">
        <v>68</v>
      </c>
      <c r="AK344" t="s">
        <v>82</v>
      </c>
      <c r="AL344" t="s">
        <v>70</v>
      </c>
      <c r="AM344">
        <v>25</v>
      </c>
      <c r="AN344">
        <v>2026</v>
      </c>
      <c r="AO344" t="s">
        <v>71</v>
      </c>
      <c r="AP344">
        <v>2</v>
      </c>
      <c r="AQ344" t="s">
        <v>2589</v>
      </c>
    </row>
    <row r="345" spans="1:43" x14ac:dyDescent="0.25">
      <c r="A345">
        <v>344</v>
      </c>
      <c r="B345" t="s">
        <v>249</v>
      </c>
      <c r="C345" t="s">
        <v>1969</v>
      </c>
      <c r="D345" t="s">
        <v>1970</v>
      </c>
      <c r="E345" t="s">
        <v>1971</v>
      </c>
      <c r="F345" t="s">
        <v>47</v>
      </c>
      <c r="I345" t="s">
        <v>254</v>
      </c>
      <c r="K345" s="2">
        <v>46228.459658101798</v>
      </c>
      <c r="L345" s="2">
        <v>46228.4768162037</v>
      </c>
      <c r="M345" t="s">
        <v>1433</v>
      </c>
      <c r="N345" t="s">
        <v>1434</v>
      </c>
      <c r="O345" t="s">
        <v>54</v>
      </c>
      <c r="P345" t="s">
        <v>174</v>
      </c>
      <c r="Q345" t="s">
        <v>161</v>
      </c>
      <c r="R345" t="s">
        <v>57</v>
      </c>
      <c r="S345" t="s">
        <v>1282</v>
      </c>
      <c r="V345" t="s">
        <v>59</v>
      </c>
      <c r="W345" t="s">
        <v>90</v>
      </c>
      <c r="X345" t="s">
        <v>61</v>
      </c>
      <c r="Y345" t="s">
        <v>47</v>
      </c>
      <c r="AA345" t="s">
        <v>1972</v>
      </c>
      <c r="AF345" t="s">
        <v>92</v>
      </c>
      <c r="AI345" t="s">
        <v>551</v>
      </c>
      <c r="AJ345" t="s">
        <v>68</v>
      </c>
      <c r="AK345" t="s">
        <v>248</v>
      </c>
      <c r="AL345" t="s">
        <v>70</v>
      </c>
      <c r="AM345">
        <v>25</v>
      </c>
      <c r="AN345">
        <v>2026</v>
      </c>
      <c r="AO345" t="s">
        <v>71</v>
      </c>
      <c r="AP345">
        <v>25</v>
      </c>
      <c r="AQ345" t="s">
        <v>71</v>
      </c>
    </row>
    <row r="346" spans="1:43" x14ac:dyDescent="0.25">
      <c r="A346">
        <v>345</v>
      </c>
      <c r="B346" t="s">
        <v>263</v>
      </c>
      <c r="C346" t="s">
        <v>1973</v>
      </c>
      <c r="D346" t="s">
        <v>1974</v>
      </c>
      <c r="E346" t="s">
        <v>1975</v>
      </c>
      <c r="F346" t="s">
        <v>47</v>
      </c>
      <c r="I346" t="s">
        <v>267</v>
      </c>
      <c r="K346" s="2">
        <v>46228.4441623495</v>
      </c>
      <c r="L346" s="2">
        <v>46236.333348113403</v>
      </c>
      <c r="M346" t="s">
        <v>76</v>
      </c>
      <c r="N346" t="s">
        <v>77</v>
      </c>
      <c r="O346" t="s">
        <v>54</v>
      </c>
      <c r="P346" t="s">
        <v>55</v>
      </c>
      <c r="Q346" t="s">
        <v>89</v>
      </c>
      <c r="S346" t="s">
        <v>68</v>
      </c>
      <c r="V346" t="s">
        <v>59</v>
      </c>
      <c r="W346" t="s">
        <v>90</v>
      </c>
      <c r="X346" t="s">
        <v>61</v>
      </c>
      <c r="Y346" t="s">
        <v>47</v>
      </c>
      <c r="AA346" t="s">
        <v>1976</v>
      </c>
      <c r="AF346" t="s">
        <v>92</v>
      </c>
      <c r="AI346" t="s">
        <v>1977</v>
      </c>
      <c r="AJ346" t="s">
        <v>68</v>
      </c>
      <c r="AK346" t="s">
        <v>82</v>
      </c>
      <c r="AL346" t="s">
        <v>70</v>
      </c>
      <c r="AM346">
        <v>25</v>
      </c>
      <c r="AN346">
        <v>2026</v>
      </c>
      <c r="AO346" t="s">
        <v>71</v>
      </c>
      <c r="AP346">
        <v>2</v>
      </c>
      <c r="AQ346" t="s">
        <v>2589</v>
      </c>
    </row>
    <row r="347" spans="1:43" x14ac:dyDescent="0.25">
      <c r="A347">
        <v>346</v>
      </c>
      <c r="B347" t="s">
        <v>263</v>
      </c>
      <c r="C347" t="s">
        <v>1978</v>
      </c>
      <c r="D347" t="s">
        <v>1979</v>
      </c>
      <c r="E347" t="s">
        <v>1980</v>
      </c>
      <c r="F347" t="s">
        <v>47</v>
      </c>
      <c r="G347" t="s">
        <v>1981</v>
      </c>
      <c r="H347" t="s">
        <v>1982</v>
      </c>
      <c r="I347" t="s">
        <v>267</v>
      </c>
      <c r="J347" t="s">
        <v>51</v>
      </c>
      <c r="K347" s="2">
        <v>46228.483656400502</v>
      </c>
      <c r="L347" s="2">
        <v>46231.567525428203</v>
      </c>
      <c r="M347" t="s">
        <v>52</v>
      </c>
      <c r="N347" t="s">
        <v>53</v>
      </c>
      <c r="O347" t="s">
        <v>54</v>
      </c>
      <c r="P347" t="s">
        <v>160</v>
      </c>
      <c r="Q347" t="s">
        <v>154</v>
      </c>
      <c r="R347" t="s">
        <v>57</v>
      </c>
      <c r="S347" t="s">
        <v>58</v>
      </c>
      <c r="V347" t="s">
        <v>59</v>
      </c>
      <c r="W347" t="s">
        <v>90</v>
      </c>
      <c r="X347" t="s">
        <v>61</v>
      </c>
      <c r="Y347" t="s">
        <v>47</v>
      </c>
      <c r="Z347" t="s">
        <v>176</v>
      </c>
      <c r="AA347" t="s">
        <v>1983</v>
      </c>
      <c r="AB347">
        <v>92143000</v>
      </c>
      <c r="AC347" t="s">
        <v>58</v>
      </c>
      <c r="AD347" s="2">
        <v>46231</v>
      </c>
      <c r="AE347" t="s">
        <v>1984</v>
      </c>
      <c r="AF347" t="s">
        <v>92</v>
      </c>
      <c r="AG347" t="s">
        <v>66</v>
      </c>
      <c r="AI347" t="s">
        <v>1571</v>
      </c>
      <c r="AJ347" t="s">
        <v>68</v>
      </c>
      <c r="AK347" t="s">
        <v>69</v>
      </c>
      <c r="AL347" t="s">
        <v>70</v>
      </c>
      <c r="AM347">
        <v>25</v>
      </c>
      <c r="AN347">
        <v>2026</v>
      </c>
      <c r="AO347" t="s">
        <v>71</v>
      </c>
      <c r="AP347">
        <v>28</v>
      </c>
      <c r="AQ347" t="s">
        <v>71</v>
      </c>
    </row>
    <row r="348" spans="1:43" x14ac:dyDescent="0.25">
      <c r="A348">
        <v>347</v>
      </c>
      <c r="B348" t="s">
        <v>99</v>
      </c>
      <c r="C348" t="s">
        <v>1985</v>
      </c>
      <c r="D348" t="s">
        <v>1986</v>
      </c>
      <c r="E348" t="s">
        <v>1987</v>
      </c>
      <c r="F348" t="s">
        <v>47</v>
      </c>
      <c r="I348" t="s">
        <v>839</v>
      </c>
      <c r="K348" s="2">
        <v>46229.399197835701</v>
      </c>
      <c r="L348" s="2">
        <v>46237.333353668997</v>
      </c>
      <c r="M348" t="s">
        <v>76</v>
      </c>
      <c r="N348" t="s">
        <v>77</v>
      </c>
      <c r="O348" t="s">
        <v>54</v>
      </c>
      <c r="P348" t="s">
        <v>88</v>
      </c>
      <c r="Q348" t="s">
        <v>56</v>
      </c>
      <c r="S348" t="s">
        <v>68</v>
      </c>
      <c r="V348" t="s">
        <v>59</v>
      </c>
      <c r="W348" t="s">
        <v>90</v>
      </c>
      <c r="X348" t="s">
        <v>61</v>
      </c>
      <c r="Y348" t="s">
        <v>47</v>
      </c>
      <c r="AA348" t="s">
        <v>1988</v>
      </c>
      <c r="AF348" t="s">
        <v>92</v>
      </c>
      <c r="AI348" t="s">
        <v>1989</v>
      </c>
      <c r="AJ348" t="s">
        <v>68</v>
      </c>
      <c r="AK348" t="s">
        <v>82</v>
      </c>
      <c r="AL348" t="s">
        <v>70</v>
      </c>
      <c r="AM348">
        <v>26</v>
      </c>
      <c r="AN348">
        <v>2026</v>
      </c>
      <c r="AO348" t="s">
        <v>71</v>
      </c>
      <c r="AP348">
        <v>3</v>
      </c>
      <c r="AQ348" t="s">
        <v>2589</v>
      </c>
    </row>
    <row r="349" spans="1:43" x14ac:dyDescent="0.25">
      <c r="A349">
        <v>348</v>
      </c>
      <c r="B349" t="s">
        <v>99</v>
      </c>
      <c r="C349" t="s">
        <v>1990</v>
      </c>
      <c r="D349" t="s">
        <v>1991</v>
      </c>
      <c r="E349" t="s">
        <v>1992</v>
      </c>
      <c r="F349" t="s">
        <v>47</v>
      </c>
      <c r="I349" t="s">
        <v>839</v>
      </c>
      <c r="K349" s="2">
        <v>46229.584510844899</v>
      </c>
      <c r="L349" s="2">
        <v>46229.590429513897</v>
      </c>
      <c r="M349" t="s">
        <v>1165</v>
      </c>
      <c r="N349" t="s">
        <v>1166</v>
      </c>
      <c r="O349" t="s">
        <v>54</v>
      </c>
      <c r="P349" t="s">
        <v>840</v>
      </c>
      <c r="Q349" t="s">
        <v>405</v>
      </c>
      <c r="R349" t="s">
        <v>57</v>
      </c>
      <c r="S349" t="s">
        <v>1282</v>
      </c>
      <c r="V349" t="s">
        <v>59</v>
      </c>
      <c r="W349" t="s">
        <v>90</v>
      </c>
      <c r="X349" t="s">
        <v>61</v>
      </c>
      <c r="Y349" t="s">
        <v>47</v>
      </c>
      <c r="AA349" t="s">
        <v>1993</v>
      </c>
      <c r="AF349" t="s">
        <v>92</v>
      </c>
      <c r="AI349" t="s">
        <v>1989</v>
      </c>
      <c r="AJ349" t="s">
        <v>68</v>
      </c>
      <c r="AK349" t="s">
        <v>248</v>
      </c>
      <c r="AL349" t="s">
        <v>70</v>
      </c>
      <c r="AM349">
        <v>26</v>
      </c>
      <c r="AN349">
        <v>2026</v>
      </c>
      <c r="AO349" t="s">
        <v>71</v>
      </c>
      <c r="AP349">
        <v>26</v>
      </c>
      <c r="AQ349" t="s">
        <v>71</v>
      </c>
    </row>
    <row r="350" spans="1:43" x14ac:dyDescent="0.25">
      <c r="A350">
        <v>349</v>
      </c>
      <c r="B350" t="s">
        <v>345</v>
      </c>
      <c r="C350" t="s">
        <v>1994</v>
      </c>
      <c r="D350" t="s">
        <v>1995</v>
      </c>
      <c r="E350" t="s">
        <v>1996</v>
      </c>
      <c r="F350" t="s">
        <v>274</v>
      </c>
      <c r="G350" t="s">
        <v>1997</v>
      </c>
      <c r="H350" t="s">
        <v>1998</v>
      </c>
      <c r="I350" t="s">
        <v>351</v>
      </c>
      <c r="J350" t="s">
        <v>51</v>
      </c>
      <c r="K350" s="2">
        <v>46229.437587349501</v>
      </c>
      <c r="L350" s="2">
        <v>46232.670432407402</v>
      </c>
      <c r="M350" t="s">
        <v>52</v>
      </c>
      <c r="N350" t="s">
        <v>53</v>
      </c>
      <c r="O350" t="s">
        <v>54</v>
      </c>
      <c r="P350" t="s">
        <v>78</v>
      </c>
      <c r="Q350" t="s">
        <v>113</v>
      </c>
      <c r="R350" t="s">
        <v>57</v>
      </c>
      <c r="S350" t="s">
        <v>481</v>
      </c>
      <c r="V350" t="s">
        <v>59</v>
      </c>
      <c r="W350" t="s">
        <v>90</v>
      </c>
      <c r="X350" t="s">
        <v>61</v>
      </c>
      <c r="Y350" t="s">
        <v>274</v>
      </c>
      <c r="Z350" t="s">
        <v>482</v>
      </c>
      <c r="AA350" t="s">
        <v>2001</v>
      </c>
      <c r="AB350">
        <v>83812000</v>
      </c>
      <c r="AC350" t="s">
        <v>481</v>
      </c>
      <c r="AD350" s="2">
        <v>46231</v>
      </c>
      <c r="AE350" t="s">
        <v>2002</v>
      </c>
      <c r="AF350" t="s">
        <v>65</v>
      </c>
      <c r="AG350" t="s">
        <v>66</v>
      </c>
      <c r="AK350" t="s">
        <v>69</v>
      </c>
      <c r="AL350" t="s">
        <v>277</v>
      </c>
      <c r="AM350">
        <v>26</v>
      </c>
      <c r="AN350">
        <v>2026</v>
      </c>
      <c r="AO350" t="s">
        <v>71</v>
      </c>
      <c r="AP350">
        <v>29</v>
      </c>
      <c r="AQ350" t="s">
        <v>71</v>
      </c>
    </row>
    <row r="351" spans="1:43" x14ac:dyDescent="0.25">
      <c r="A351">
        <v>350</v>
      </c>
      <c r="B351" t="s">
        <v>43</v>
      </c>
      <c r="C351" t="s">
        <v>2003</v>
      </c>
      <c r="D351" t="s">
        <v>2004</v>
      </c>
      <c r="E351" t="s">
        <v>2005</v>
      </c>
      <c r="F351" t="s">
        <v>47</v>
      </c>
      <c r="I351" t="s">
        <v>50</v>
      </c>
      <c r="K351" s="2">
        <v>46230.460770173602</v>
      </c>
      <c r="L351" s="2">
        <v>46231.762689155097</v>
      </c>
      <c r="M351" t="s">
        <v>1165</v>
      </c>
      <c r="N351" t="s">
        <v>1166</v>
      </c>
      <c r="O351" t="s">
        <v>54</v>
      </c>
      <c r="P351" t="s">
        <v>55</v>
      </c>
      <c r="Q351" t="s">
        <v>56</v>
      </c>
      <c r="R351" t="s">
        <v>707</v>
      </c>
      <c r="S351" t="s">
        <v>1282</v>
      </c>
      <c r="V351" t="s">
        <v>59</v>
      </c>
      <c r="W351" t="s">
        <v>60</v>
      </c>
      <c r="X351" t="s">
        <v>61</v>
      </c>
      <c r="Y351" t="s">
        <v>47</v>
      </c>
      <c r="AA351" t="s">
        <v>2006</v>
      </c>
      <c r="AF351" t="s">
        <v>2007</v>
      </c>
      <c r="AI351" t="s">
        <v>686</v>
      </c>
      <c r="AJ351" t="s">
        <v>68</v>
      </c>
      <c r="AK351" t="s">
        <v>248</v>
      </c>
      <c r="AL351" t="s">
        <v>70</v>
      </c>
      <c r="AM351">
        <v>27</v>
      </c>
      <c r="AN351">
        <v>2026</v>
      </c>
      <c r="AO351" t="s">
        <v>71</v>
      </c>
      <c r="AP351">
        <v>28</v>
      </c>
      <c r="AQ351" t="s">
        <v>71</v>
      </c>
    </row>
    <row r="352" spans="1:43" x14ac:dyDescent="0.25">
      <c r="A352">
        <v>351</v>
      </c>
      <c r="B352" t="s">
        <v>43</v>
      </c>
      <c r="C352" t="s">
        <v>2008</v>
      </c>
      <c r="D352" t="s">
        <v>2009</v>
      </c>
      <c r="E352" t="s">
        <v>2010</v>
      </c>
      <c r="F352" t="s">
        <v>274</v>
      </c>
      <c r="H352" t="s">
        <v>2011</v>
      </c>
      <c r="I352" t="s">
        <v>50</v>
      </c>
      <c r="J352" t="s">
        <v>51</v>
      </c>
      <c r="K352" s="2">
        <v>46230.638949108798</v>
      </c>
      <c r="L352" s="2">
        <v>46233.615951006897</v>
      </c>
      <c r="M352" t="s">
        <v>2590</v>
      </c>
      <c r="N352" t="s">
        <v>2591</v>
      </c>
      <c r="O352" t="s">
        <v>54</v>
      </c>
      <c r="P352" t="s">
        <v>174</v>
      </c>
      <c r="Q352" t="s">
        <v>154</v>
      </c>
      <c r="R352" t="s">
        <v>707</v>
      </c>
      <c r="S352" t="s">
        <v>58</v>
      </c>
      <c r="V352" t="s">
        <v>59</v>
      </c>
      <c r="W352" t="s">
        <v>60</v>
      </c>
      <c r="X352" t="s">
        <v>61</v>
      </c>
      <c r="Y352" t="s">
        <v>274</v>
      </c>
      <c r="Z352" t="s">
        <v>372</v>
      </c>
      <c r="AA352" t="s">
        <v>2012</v>
      </c>
      <c r="AC352" t="s">
        <v>58</v>
      </c>
      <c r="AD352" s="2">
        <v>46232</v>
      </c>
      <c r="AE352" t="s">
        <v>2013</v>
      </c>
      <c r="AF352" t="s">
        <v>2014</v>
      </c>
      <c r="AG352" t="s">
        <v>246</v>
      </c>
      <c r="AK352" t="s">
        <v>1514</v>
      </c>
      <c r="AL352" t="s">
        <v>277</v>
      </c>
      <c r="AM352">
        <v>27</v>
      </c>
      <c r="AN352">
        <v>2026</v>
      </c>
      <c r="AO352" t="s">
        <v>71</v>
      </c>
      <c r="AP352">
        <v>30</v>
      </c>
      <c r="AQ352" t="s">
        <v>71</v>
      </c>
    </row>
    <row r="353" spans="1:43" x14ac:dyDescent="0.25">
      <c r="A353">
        <v>352</v>
      </c>
      <c r="B353" t="s">
        <v>83</v>
      </c>
      <c r="C353" t="s">
        <v>2015</v>
      </c>
      <c r="D353" t="s">
        <v>2016</v>
      </c>
      <c r="E353" t="s">
        <v>2017</v>
      </c>
      <c r="F353" t="s">
        <v>47</v>
      </c>
      <c r="I353" t="s">
        <v>87</v>
      </c>
      <c r="K353" s="2">
        <v>46230.678984455997</v>
      </c>
      <c r="L353" s="2">
        <v>46230.688151041701</v>
      </c>
      <c r="M353" t="s">
        <v>1638</v>
      </c>
      <c r="N353" t="s">
        <v>1639</v>
      </c>
      <c r="O353" t="s">
        <v>54</v>
      </c>
      <c r="P353" t="s">
        <v>88</v>
      </c>
      <c r="Q353" t="s">
        <v>89</v>
      </c>
      <c r="S353" t="s">
        <v>1282</v>
      </c>
      <c r="V353" t="s">
        <v>59</v>
      </c>
      <c r="W353" t="s">
        <v>90</v>
      </c>
      <c r="X353" t="s">
        <v>61</v>
      </c>
      <c r="Y353" t="s">
        <v>47</v>
      </c>
      <c r="AA353" t="s">
        <v>2018</v>
      </c>
      <c r="AF353" t="s">
        <v>92</v>
      </c>
      <c r="AI353" t="s">
        <v>910</v>
      </c>
      <c r="AJ353" t="s">
        <v>68</v>
      </c>
      <c r="AK353" t="s">
        <v>1641</v>
      </c>
      <c r="AL353" t="s">
        <v>70</v>
      </c>
      <c r="AM353">
        <v>27</v>
      </c>
      <c r="AN353">
        <v>2026</v>
      </c>
      <c r="AO353" t="s">
        <v>71</v>
      </c>
      <c r="AP353">
        <v>27</v>
      </c>
      <c r="AQ353" t="s">
        <v>71</v>
      </c>
    </row>
    <row r="354" spans="1:43" x14ac:dyDescent="0.25">
      <c r="A354">
        <v>353</v>
      </c>
      <c r="B354" t="s">
        <v>83</v>
      </c>
      <c r="C354" t="s">
        <v>2019</v>
      </c>
      <c r="D354" t="s">
        <v>2020</v>
      </c>
      <c r="E354" t="s">
        <v>2021</v>
      </c>
      <c r="F354" t="s">
        <v>47</v>
      </c>
      <c r="I354" t="s">
        <v>193</v>
      </c>
      <c r="K354" s="2">
        <v>46230.718124618099</v>
      </c>
      <c r="L354" s="2">
        <v>46230.722303703697</v>
      </c>
      <c r="M354" t="s">
        <v>1638</v>
      </c>
      <c r="N354" t="s">
        <v>1639</v>
      </c>
      <c r="O354" t="s">
        <v>54</v>
      </c>
      <c r="P354" t="s">
        <v>88</v>
      </c>
      <c r="Q354" t="s">
        <v>218</v>
      </c>
      <c r="S354" t="s">
        <v>1282</v>
      </c>
      <c r="V354" t="s">
        <v>59</v>
      </c>
      <c r="W354" t="s">
        <v>90</v>
      </c>
      <c r="X354" t="s">
        <v>61</v>
      </c>
      <c r="Y354" t="s">
        <v>47</v>
      </c>
      <c r="AA354" t="s">
        <v>2022</v>
      </c>
      <c r="AF354" t="s">
        <v>195</v>
      </c>
      <c r="AI354" t="s">
        <v>323</v>
      </c>
      <c r="AJ354" t="s">
        <v>68</v>
      </c>
      <c r="AK354" t="s">
        <v>1641</v>
      </c>
      <c r="AL354" t="s">
        <v>70</v>
      </c>
      <c r="AM354">
        <v>27</v>
      </c>
      <c r="AN354">
        <v>2026</v>
      </c>
      <c r="AO354" t="s">
        <v>71</v>
      </c>
      <c r="AP354">
        <v>27</v>
      </c>
      <c r="AQ354" t="s">
        <v>71</v>
      </c>
    </row>
    <row r="355" spans="1:43" x14ac:dyDescent="0.25">
      <c r="A355">
        <v>354</v>
      </c>
      <c r="B355" t="s">
        <v>99</v>
      </c>
      <c r="C355" t="s">
        <v>2023</v>
      </c>
      <c r="D355" t="s">
        <v>2024</v>
      </c>
      <c r="E355" t="s">
        <v>2025</v>
      </c>
      <c r="F355" t="s">
        <v>75</v>
      </c>
      <c r="I355" t="s">
        <v>1460</v>
      </c>
      <c r="K355" s="2">
        <v>46230.458087812498</v>
      </c>
      <c r="L355" s="2">
        <v>46230.4627223727</v>
      </c>
      <c r="M355" t="s">
        <v>1638</v>
      </c>
      <c r="N355" t="s">
        <v>1639</v>
      </c>
      <c r="O355" t="s">
        <v>54</v>
      </c>
      <c r="P355" t="s">
        <v>55</v>
      </c>
      <c r="Q355" t="s">
        <v>185</v>
      </c>
      <c r="S355" t="s">
        <v>1282</v>
      </c>
      <c r="V355" t="s">
        <v>59</v>
      </c>
      <c r="W355" t="s">
        <v>90</v>
      </c>
      <c r="X355" t="s">
        <v>61</v>
      </c>
      <c r="Y355" t="s">
        <v>75</v>
      </c>
      <c r="AA355" t="s">
        <v>2026</v>
      </c>
      <c r="AF355" t="s">
        <v>92</v>
      </c>
      <c r="AK355" t="s">
        <v>1641</v>
      </c>
      <c r="AL355" t="s">
        <v>70</v>
      </c>
      <c r="AM355">
        <v>27</v>
      </c>
      <c r="AN355">
        <v>2026</v>
      </c>
      <c r="AO355" t="s">
        <v>71</v>
      </c>
      <c r="AP355">
        <v>27</v>
      </c>
      <c r="AQ355" t="s">
        <v>71</v>
      </c>
    </row>
    <row r="356" spans="1:43" x14ac:dyDescent="0.25">
      <c r="A356">
        <v>355</v>
      </c>
      <c r="B356" t="s">
        <v>99</v>
      </c>
      <c r="C356" t="s">
        <v>2027</v>
      </c>
      <c r="D356" t="s">
        <v>2028</v>
      </c>
      <c r="E356" t="s">
        <v>2029</v>
      </c>
      <c r="F356" t="s">
        <v>47</v>
      </c>
      <c r="H356" t="s">
        <v>2030</v>
      </c>
      <c r="I356" t="s">
        <v>839</v>
      </c>
      <c r="J356" t="s">
        <v>295</v>
      </c>
      <c r="K356" s="2">
        <v>46230.462038576399</v>
      </c>
      <c r="L356" s="2">
        <v>46232.765025659697</v>
      </c>
      <c r="M356" t="s">
        <v>241</v>
      </c>
      <c r="N356" t="s">
        <v>242</v>
      </c>
      <c r="O356" t="s">
        <v>54</v>
      </c>
      <c r="P356" t="s">
        <v>174</v>
      </c>
      <c r="Q356" t="s">
        <v>571</v>
      </c>
      <c r="R356" t="s">
        <v>57</v>
      </c>
      <c r="S356" t="s">
        <v>58</v>
      </c>
      <c r="V356" t="s">
        <v>59</v>
      </c>
      <c r="W356" t="s">
        <v>90</v>
      </c>
      <c r="X356" t="s">
        <v>61</v>
      </c>
      <c r="Y356" t="s">
        <v>47</v>
      </c>
      <c r="Z356" t="s">
        <v>953</v>
      </c>
      <c r="AA356" t="s">
        <v>2031</v>
      </c>
      <c r="AC356" t="s">
        <v>58</v>
      </c>
      <c r="AD356" s="2">
        <v>46231</v>
      </c>
      <c r="AE356" t="s">
        <v>92</v>
      </c>
      <c r="AF356" t="s">
        <v>92</v>
      </c>
      <c r="AG356" t="s">
        <v>365</v>
      </c>
      <c r="AI356" t="s">
        <v>1989</v>
      </c>
      <c r="AJ356" t="s">
        <v>68</v>
      </c>
      <c r="AK356" t="s">
        <v>248</v>
      </c>
      <c r="AL356" t="s">
        <v>70</v>
      </c>
      <c r="AM356">
        <v>27</v>
      </c>
      <c r="AN356">
        <v>2026</v>
      </c>
      <c r="AO356" t="s">
        <v>71</v>
      </c>
      <c r="AP356">
        <v>29</v>
      </c>
      <c r="AQ356" t="s">
        <v>71</v>
      </c>
    </row>
    <row r="357" spans="1:43" x14ac:dyDescent="0.25">
      <c r="A357">
        <v>356</v>
      </c>
      <c r="B357" t="s">
        <v>106</v>
      </c>
      <c r="C357" t="s">
        <v>2032</v>
      </c>
      <c r="D357" t="s">
        <v>2033</v>
      </c>
      <c r="E357" t="s">
        <v>2034</v>
      </c>
      <c r="F357" t="s">
        <v>47</v>
      </c>
      <c r="I357" t="s">
        <v>112</v>
      </c>
      <c r="K357" s="2">
        <v>46230.611958101901</v>
      </c>
      <c r="L357" s="2">
        <v>46230.621898807898</v>
      </c>
      <c r="M357" t="s">
        <v>1638</v>
      </c>
      <c r="N357" t="s">
        <v>1639</v>
      </c>
      <c r="O357" t="s">
        <v>54</v>
      </c>
      <c r="P357" t="s">
        <v>174</v>
      </c>
      <c r="Q357" t="s">
        <v>621</v>
      </c>
      <c r="S357" t="s">
        <v>1282</v>
      </c>
      <c r="V357" t="s">
        <v>59</v>
      </c>
      <c r="W357" t="s">
        <v>60</v>
      </c>
      <c r="X357" t="s">
        <v>61</v>
      </c>
      <c r="Y357" t="s">
        <v>47</v>
      </c>
      <c r="AA357" t="s">
        <v>2035</v>
      </c>
      <c r="AF357" t="s">
        <v>117</v>
      </c>
      <c r="AI357" t="s">
        <v>212</v>
      </c>
      <c r="AJ357" t="s">
        <v>68</v>
      </c>
      <c r="AK357" t="s">
        <v>1641</v>
      </c>
      <c r="AL357" t="s">
        <v>70</v>
      </c>
      <c r="AM357">
        <v>27</v>
      </c>
      <c r="AN357">
        <v>2026</v>
      </c>
      <c r="AO357" t="s">
        <v>71</v>
      </c>
      <c r="AP357">
        <v>27</v>
      </c>
      <c r="AQ357" t="s">
        <v>71</v>
      </c>
    </row>
    <row r="358" spans="1:43" x14ac:dyDescent="0.25">
      <c r="A358">
        <v>357</v>
      </c>
      <c r="B358" t="s">
        <v>213</v>
      </c>
      <c r="C358" t="s">
        <v>2036</v>
      </c>
      <c r="D358" t="s">
        <v>2037</v>
      </c>
      <c r="E358" t="s">
        <v>2038</v>
      </c>
      <c r="F358" t="s">
        <v>47</v>
      </c>
      <c r="I358" t="s">
        <v>217</v>
      </c>
      <c r="K358" s="2">
        <v>46230.729067511602</v>
      </c>
      <c r="L358" s="2">
        <v>46230.739704710701</v>
      </c>
      <c r="M358" t="s">
        <v>1433</v>
      </c>
      <c r="N358" t="s">
        <v>1434</v>
      </c>
      <c r="O358" t="s">
        <v>54</v>
      </c>
      <c r="P358" t="s">
        <v>55</v>
      </c>
      <c r="Q358" t="s">
        <v>405</v>
      </c>
      <c r="R358" t="s">
        <v>57</v>
      </c>
      <c r="S358" t="s">
        <v>1282</v>
      </c>
      <c r="V358" t="s">
        <v>59</v>
      </c>
      <c r="W358" t="s">
        <v>90</v>
      </c>
      <c r="X358" t="s">
        <v>61</v>
      </c>
      <c r="Y358" t="s">
        <v>47</v>
      </c>
      <c r="AA358" t="s">
        <v>2039</v>
      </c>
      <c r="AF358" t="s">
        <v>1792</v>
      </c>
      <c r="AI358" t="s">
        <v>739</v>
      </c>
      <c r="AJ358" t="s">
        <v>68</v>
      </c>
      <c r="AK358" t="s">
        <v>248</v>
      </c>
      <c r="AL358" t="s">
        <v>70</v>
      </c>
      <c r="AM358">
        <v>27</v>
      </c>
      <c r="AN358">
        <v>2026</v>
      </c>
      <c r="AO358" t="s">
        <v>71</v>
      </c>
      <c r="AP358">
        <v>27</v>
      </c>
      <c r="AQ358" t="s">
        <v>71</v>
      </c>
    </row>
    <row r="359" spans="1:43" x14ac:dyDescent="0.25">
      <c r="A359">
        <v>358</v>
      </c>
      <c r="B359" t="s">
        <v>1716</v>
      </c>
      <c r="C359" t="s">
        <v>2008</v>
      </c>
      <c r="D359" t="s">
        <v>2040</v>
      </c>
      <c r="E359" t="s">
        <v>2041</v>
      </c>
      <c r="F359" t="s">
        <v>274</v>
      </c>
      <c r="I359" t="s">
        <v>2042</v>
      </c>
      <c r="K359" s="2">
        <v>46230.441353784699</v>
      </c>
      <c r="L359" s="2">
        <v>46230.458627314802</v>
      </c>
      <c r="M359" t="s">
        <v>1433</v>
      </c>
      <c r="N359" t="s">
        <v>1434</v>
      </c>
      <c r="O359" t="s">
        <v>54</v>
      </c>
      <c r="P359" t="s">
        <v>174</v>
      </c>
      <c r="Q359" t="s">
        <v>154</v>
      </c>
      <c r="R359" t="s">
        <v>57</v>
      </c>
      <c r="S359" t="s">
        <v>1282</v>
      </c>
      <c r="V359" t="s">
        <v>59</v>
      </c>
      <c r="W359" t="s">
        <v>90</v>
      </c>
      <c r="X359" t="s">
        <v>61</v>
      </c>
      <c r="Y359" t="s">
        <v>274</v>
      </c>
      <c r="AA359" t="s">
        <v>2012</v>
      </c>
      <c r="AF359" t="s">
        <v>2014</v>
      </c>
      <c r="AK359" t="s">
        <v>248</v>
      </c>
      <c r="AL359" t="s">
        <v>277</v>
      </c>
      <c r="AM359">
        <v>27</v>
      </c>
      <c r="AN359">
        <v>2026</v>
      </c>
      <c r="AO359" t="s">
        <v>71</v>
      </c>
      <c r="AP359">
        <v>27</v>
      </c>
      <c r="AQ359" t="s">
        <v>71</v>
      </c>
    </row>
    <row r="360" spans="1:43" x14ac:dyDescent="0.25">
      <c r="A360">
        <v>359</v>
      </c>
      <c r="B360" t="s">
        <v>1073</v>
      </c>
      <c r="C360" t="s">
        <v>2043</v>
      </c>
      <c r="D360" t="s">
        <v>2044</v>
      </c>
      <c r="E360" t="s">
        <v>2045</v>
      </c>
      <c r="F360" t="s">
        <v>47</v>
      </c>
      <c r="I360" t="s">
        <v>1268</v>
      </c>
      <c r="K360" s="2">
        <v>46230.416156979198</v>
      </c>
      <c r="L360" s="2">
        <v>46230.434694247699</v>
      </c>
      <c r="M360" t="s">
        <v>76</v>
      </c>
      <c r="N360" t="s">
        <v>77</v>
      </c>
      <c r="O360" t="s">
        <v>54</v>
      </c>
      <c r="P360" t="s">
        <v>78</v>
      </c>
      <c r="Q360" t="s">
        <v>405</v>
      </c>
      <c r="R360" t="s">
        <v>57</v>
      </c>
      <c r="S360" t="s">
        <v>68</v>
      </c>
      <c r="V360" t="s">
        <v>59</v>
      </c>
      <c r="W360" t="s">
        <v>60</v>
      </c>
      <c r="X360" t="s">
        <v>61</v>
      </c>
      <c r="Y360" t="s">
        <v>47</v>
      </c>
      <c r="AA360" t="s">
        <v>2046</v>
      </c>
      <c r="AF360" t="s">
        <v>117</v>
      </c>
      <c r="AI360" t="s">
        <v>2047</v>
      </c>
      <c r="AJ360" t="s">
        <v>68</v>
      </c>
      <c r="AK360" t="s">
        <v>82</v>
      </c>
      <c r="AL360" t="s">
        <v>70</v>
      </c>
      <c r="AM360">
        <v>27</v>
      </c>
      <c r="AN360">
        <v>2026</v>
      </c>
      <c r="AO360" t="s">
        <v>71</v>
      </c>
      <c r="AP360">
        <v>27</v>
      </c>
      <c r="AQ360" t="s">
        <v>71</v>
      </c>
    </row>
    <row r="361" spans="1:43" x14ac:dyDescent="0.25">
      <c r="A361">
        <v>360</v>
      </c>
      <c r="B361" t="s">
        <v>1073</v>
      </c>
      <c r="C361" t="s">
        <v>2048</v>
      </c>
      <c r="D361" t="s">
        <v>2049</v>
      </c>
      <c r="E361" t="s">
        <v>2050</v>
      </c>
      <c r="F361" t="s">
        <v>47</v>
      </c>
      <c r="I361" t="s">
        <v>1268</v>
      </c>
      <c r="K361" s="2">
        <v>46230.44599375</v>
      </c>
      <c r="L361" s="2">
        <v>46230.458629745401</v>
      </c>
      <c r="M361" t="s">
        <v>1638</v>
      </c>
      <c r="N361" t="s">
        <v>1639</v>
      </c>
      <c r="O361" t="s">
        <v>54</v>
      </c>
      <c r="P361" t="s">
        <v>88</v>
      </c>
      <c r="Q361" t="s">
        <v>1501</v>
      </c>
      <c r="S361" t="s">
        <v>1282</v>
      </c>
      <c r="V361" t="s">
        <v>59</v>
      </c>
      <c r="W361" t="s">
        <v>60</v>
      </c>
      <c r="X361" t="s">
        <v>61</v>
      </c>
      <c r="Y361" t="s">
        <v>47</v>
      </c>
      <c r="AA361" t="s">
        <v>2051</v>
      </c>
      <c r="AF361" t="s">
        <v>65</v>
      </c>
      <c r="AI361" t="s">
        <v>1421</v>
      </c>
      <c r="AJ361" t="s">
        <v>68</v>
      </c>
      <c r="AK361" t="s">
        <v>1641</v>
      </c>
      <c r="AL361" t="s">
        <v>70</v>
      </c>
      <c r="AM361">
        <v>27</v>
      </c>
      <c r="AN361">
        <v>2026</v>
      </c>
      <c r="AO361" t="s">
        <v>71</v>
      </c>
      <c r="AP361">
        <v>27</v>
      </c>
      <c r="AQ361" t="s">
        <v>71</v>
      </c>
    </row>
    <row r="362" spans="1:43" x14ac:dyDescent="0.25">
      <c r="A362">
        <v>361</v>
      </c>
      <c r="B362" t="s">
        <v>946</v>
      </c>
      <c r="C362" t="s">
        <v>2052</v>
      </c>
      <c r="D362" t="s">
        <v>2053</v>
      </c>
      <c r="E362" t="s">
        <v>2054</v>
      </c>
      <c r="F362" t="s">
        <v>47</v>
      </c>
      <c r="I362" t="s">
        <v>2055</v>
      </c>
      <c r="K362" s="2">
        <v>46230.831758993103</v>
      </c>
      <c r="L362" s="2">
        <v>46230.836891400497</v>
      </c>
      <c r="M362" t="s">
        <v>1433</v>
      </c>
      <c r="N362" t="s">
        <v>1434</v>
      </c>
      <c r="O362" t="s">
        <v>54</v>
      </c>
      <c r="P362" t="s">
        <v>55</v>
      </c>
      <c r="Q362" t="s">
        <v>571</v>
      </c>
      <c r="R362" t="s">
        <v>57</v>
      </c>
      <c r="S362" t="s">
        <v>1282</v>
      </c>
      <c r="V362" t="s">
        <v>59</v>
      </c>
      <c r="W362" t="s">
        <v>90</v>
      </c>
      <c r="X362" t="s">
        <v>61</v>
      </c>
      <c r="Y362" t="s">
        <v>47</v>
      </c>
      <c r="AA362" t="s">
        <v>2056</v>
      </c>
      <c r="AF362" t="s">
        <v>92</v>
      </c>
      <c r="AI362" t="s">
        <v>2057</v>
      </c>
      <c r="AJ362" t="s">
        <v>68</v>
      </c>
      <c r="AK362" t="s">
        <v>248</v>
      </c>
      <c r="AL362" t="s">
        <v>70</v>
      </c>
      <c r="AM362">
        <v>27</v>
      </c>
      <c r="AN362">
        <v>2026</v>
      </c>
      <c r="AO362" t="s">
        <v>71</v>
      </c>
      <c r="AP362">
        <v>27</v>
      </c>
      <c r="AQ362" t="s">
        <v>71</v>
      </c>
    </row>
    <row r="363" spans="1:43" x14ac:dyDescent="0.25">
      <c r="A363">
        <v>362</v>
      </c>
      <c r="B363" t="s">
        <v>129</v>
      </c>
      <c r="C363" t="s">
        <v>2058</v>
      </c>
      <c r="D363" t="s">
        <v>2059</v>
      </c>
      <c r="E363" t="s">
        <v>2060</v>
      </c>
      <c r="F363" t="s">
        <v>47</v>
      </c>
      <c r="I363" t="s">
        <v>133</v>
      </c>
      <c r="K363" s="2">
        <v>46230.552660451402</v>
      </c>
      <c r="L363" s="2">
        <v>46230.559797650501</v>
      </c>
      <c r="M363" t="s">
        <v>1638</v>
      </c>
      <c r="N363" t="s">
        <v>1639</v>
      </c>
      <c r="O363" t="s">
        <v>54</v>
      </c>
      <c r="P363" t="s">
        <v>78</v>
      </c>
      <c r="Q363" t="s">
        <v>405</v>
      </c>
      <c r="S363" t="s">
        <v>1282</v>
      </c>
      <c r="V363" t="s">
        <v>59</v>
      </c>
      <c r="W363" t="s">
        <v>60</v>
      </c>
      <c r="X363" t="s">
        <v>61</v>
      </c>
      <c r="Y363" t="s">
        <v>47</v>
      </c>
      <c r="AA363" t="s">
        <v>2061</v>
      </c>
      <c r="AF363" t="s">
        <v>117</v>
      </c>
      <c r="AI363" t="s">
        <v>1181</v>
      </c>
      <c r="AJ363" t="s">
        <v>68</v>
      </c>
      <c r="AK363" t="s">
        <v>1641</v>
      </c>
      <c r="AL363" t="s">
        <v>70</v>
      </c>
      <c r="AM363">
        <v>27</v>
      </c>
      <c r="AN363">
        <v>2026</v>
      </c>
      <c r="AO363" t="s">
        <v>71</v>
      </c>
      <c r="AP363">
        <v>27</v>
      </c>
      <c r="AQ363" t="s">
        <v>71</v>
      </c>
    </row>
    <row r="364" spans="1:43" x14ac:dyDescent="0.25">
      <c r="A364">
        <v>363</v>
      </c>
      <c r="B364" t="s">
        <v>229</v>
      </c>
      <c r="C364" t="s">
        <v>2062</v>
      </c>
      <c r="D364" t="s">
        <v>2063</v>
      </c>
      <c r="E364" t="s">
        <v>2064</v>
      </c>
      <c r="F364" t="s">
        <v>47</v>
      </c>
      <c r="I364" t="s">
        <v>233</v>
      </c>
      <c r="K364" s="2">
        <v>46230.605404247697</v>
      </c>
      <c r="L364" s="2">
        <v>46233.617086111102</v>
      </c>
      <c r="M364" t="s">
        <v>1638</v>
      </c>
      <c r="N364" t="s">
        <v>1639</v>
      </c>
      <c r="O364" t="s">
        <v>54</v>
      </c>
      <c r="P364" t="s">
        <v>88</v>
      </c>
      <c r="Q364" t="s">
        <v>185</v>
      </c>
      <c r="S364" t="s">
        <v>1282</v>
      </c>
      <c r="V364" t="s">
        <v>59</v>
      </c>
      <c r="W364" t="s">
        <v>90</v>
      </c>
      <c r="X364" t="s">
        <v>61</v>
      </c>
      <c r="Y364" t="s">
        <v>47</v>
      </c>
      <c r="AA364" t="s">
        <v>2065</v>
      </c>
      <c r="AF364" t="s">
        <v>245</v>
      </c>
      <c r="AI364" t="s">
        <v>1665</v>
      </c>
      <c r="AJ364" t="s">
        <v>68</v>
      </c>
      <c r="AK364" t="s">
        <v>1641</v>
      </c>
      <c r="AL364" t="s">
        <v>70</v>
      </c>
      <c r="AM364">
        <v>27</v>
      </c>
      <c r="AN364">
        <v>2026</v>
      </c>
      <c r="AO364" t="s">
        <v>71</v>
      </c>
      <c r="AP364">
        <v>30</v>
      </c>
      <c r="AQ364" t="s">
        <v>71</v>
      </c>
    </row>
    <row r="365" spans="1:43" x14ac:dyDescent="0.25">
      <c r="A365">
        <v>364</v>
      </c>
      <c r="B365" t="s">
        <v>249</v>
      </c>
      <c r="C365" t="s">
        <v>2066</v>
      </c>
      <c r="D365" t="s">
        <v>2067</v>
      </c>
      <c r="E365" t="s">
        <v>2068</v>
      </c>
      <c r="F365" t="s">
        <v>47</v>
      </c>
      <c r="I365" t="s">
        <v>254</v>
      </c>
      <c r="K365" s="2">
        <v>46230.3927875347</v>
      </c>
      <c r="L365" s="2">
        <v>46230.406955057901</v>
      </c>
      <c r="M365" t="s">
        <v>1638</v>
      </c>
      <c r="N365" t="s">
        <v>1639</v>
      </c>
      <c r="O365" t="s">
        <v>54</v>
      </c>
      <c r="P365" t="s">
        <v>174</v>
      </c>
      <c r="Q365" t="s">
        <v>161</v>
      </c>
      <c r="S365" t="s">
        <v>1282</v>
      </c>
      <c r="V365" t="s">
        <v>59</v>
      </c>
      <c r="W365" t="s">
        <v>90</v>
      </c>
      <c r="X365" t="s">
        <v>61</v>
      </c>
      <c r="Y365" t="s">
        <v>47</v>
      </c>
      <c r="AA365" t="s">
        <v>2069</v>
      </c>
      <c r="AF365" t="s">
        <v>92</v>
      </c>
      <c r="AI365" t="s">
        <v>1670</v>
      </c>
      <c r="AJ365" t="s">
        <v>68</v>
      </c>
      <c r="AK365" t="s">
        <v>1641</v>
      </c>
      <c r="AL365" t="s">
        <v>70</v>
      </c>
      <c r="AM365">
        <v>27</v>
      </c>
      <c r="AN365">
        <v>2026</v>
      </c>
      <c r="AO365" t="s">
        <v>71</v>
      </c>
      <c r="AP365">
        <v>27</v>
      </c>
      <c r="AQ365" t="s">
        <v>71</v>
      </c>
    </row>
    <row r="366" spans="1:43" x14ac:dyDescent="0.25">
      <c r="A366">
        <v>365</v>
      </c>
      <c r="B366" t="s">
        <v>379</v>
      </c>
      <c r="C366" t="s">
        <v>2070</v>
      </c>
      <c r="D366" t="s">
        <v>2071</v>
      </c>
      <c r="E366" t="s">
        <v>2072</v>
      </c>
      <c r="F366" t="s">
        <v>47</v>
      </c>
      <c r="I366" t="s">
        <v>660</v>
      </c>
      <c r="K366" s="2">
        <v>46230.471322418998</v>
      </c>
      <c r="L366" s="2">
        <v>46230.490247071801</v>
      </c>
      <c r="M366" t="s">
        <v>1638</v>
      </c>
      <c r="N366" t="s">
        <v>1639</v>
      </c>
      <c r="O366" t="s">
        <v>54</v>
      </c>
      <c r="P366" t="s">
        <v>55</v>
      </c>
      <c r="Q366" t="s">
        <v>218</v>
      </c>
      <c r="S366" t="s">
        <v>1282</v>
      </c>
      <c r="V366" t="s">
        <v>59</v>
      </c>
      <c r="W366" t="s">
        <v>90</v>
      </c>
      <c r="X366" t="s">
        <v>61</v>
      </c>
      <c r="Y366" t="s">
        <v>47</v>
      </c>
      <c r="AA366" t="s">
        <v>2073</v>
      </c>
      <c r="AF366" t="s">
        <v>2074</v>
      </c>
      <c r="AI366" t="s">
        <v>663</v>
      </c>
      <c r="AJ366" t="s">
        <v>68</v>
      </c>
      <c r="AK366" t="s">
        <v>1641</v>
      </c>
      <c r="AL366" t="s">
        <v>70</v>
      </c>
      <c r="AM366">
        <v>27</v>
      </c>
      <c r="AN366">
        <v>2026</v>
      </c>
      <c r="AO366" t="s">
        <v>71</v>
      </c>
      <c r="AP366">
        <v>27</v>
      </c>
      <c r="AQ366" t="s">
        <v>71</v>
      </c>
    </row>
    <row r="367" spans="1:43" x14ac:dyDescent="0.25">
      <c r="A367">
        <v>366</v>
      </c>
      <c r="B367" t="s">
        <v>278</v>
      </c>
      <c r="C367" t="s">
        <v>2075</v>
      </c>
      <c r="D367" t="s">
        <v>2076</v>
      </c>
      <c r="E367" t="s">
        <v>2077</v>
      </c>
      <c r="F367" t="s">
        <v>47</v>
      </c>
      <c r="G367" t="s">
        <v>2078</v>
      </c>
      <c r="H367" t="s">
        <v>2079</v>
      </c>
      <c r="I367" t="s">
        <v>284</v>
      </c>
      <c r="J367" t="s">
        <v>51</v>
      </c>
      <c r="K367" s="2">
        <v>46230.372952858801</v>
      </c>
      <c r="L367" s="2">
        <v>46232.635478703698</v>
      </c>
      <c r="M367" t="s">
        <v>52</v>
      </c>
      <c r="N367" t="s">
        <v>53</v>
      </c>
      <c r="O367" t="s">
        <v>54</v>
      </c>
      <c r="P367" t="s">
        <v>160</v>
      </c>
      <c r="Q367" t="s">
        <v>56</v>
      </c>
      <c r="R367" t="s">
        <v>57</v>
      </c>
      <c r="S367" t="s">
        <v>58</v>
      </c>
      <c r="V367" t="s">
        <v>59</v>
      </c>
      <c r="W367" t="s">
        <v>90</v>
      </c>
      <c r="X367" t="s">
        <v>61</v>
      </c>
      <c r="Y367" t="s">
        <v>47</v>
      </c>
      <c r="Z367" t="s">
        <v>114</v>
      </c>
      <c r="AA367" t="s">
        <v>2080</v>
      </c>
      <c r="AB367">
        <v>187000100</v>
      </c>
      <c r="AC367" t="s">
        <v>58</v>
      </c>
      <c r="AD367" s="2">
        <v>46231</v>
      </c>
      <c r="AE367" t="s">
        <v>2081</v>
      </c>
      <c r="AF367" t="s">
        <v>2082</v>
      </c>
      <c r="AG367" t="s">
        <v>66</v>
      </c>
      <c r="AI367" t="s">
        <v>179</v>
      </c>
      <c r="AJ367" t="s">
        <v>68</v>
      </c>
      <c r="AK367" t="s">
        <v>69</v>
      </c>
      <c r="AL367" t="s">
        <v>70</v>
      </c>
      <c r="AM367">
        <v>27</v>
      </c>
      <c r="AN367">
        <v>2026</v>
      </c>
      <c r="AO367" t="s">
        <v>71</v>
      </c>
      <c r="AP367">
        <v>29</v>
      </c>
      <c r="AQ367" t="s">
        <v>71</v>
      </c>
    </row>
    <row r="368" spans="1:43" x14ac:dyDescent="0.25">
      <c r="A368">
        <v>367</v>
      </c>
      <c r="B368" t="s">
        <v>278</v>
      </c>
      <c r="C368" t="s">
        <v>2083</v>
      </c>
      <c r="D368" t="s">
        <v>2084</v>
      </c>
      <c r="E368" t="s">
        <v>2085</v>
      </c>
      <c r="F368" t="s">
        <v>75</v>
      </c>
      <c r="I368" t="s">
        <v>284</v>
      </c>
      <c r="K368" s="2">
        <v>46230.735122418999</v>
      </c>
      <c r="L368" s="2">
        <v>46230.746610335598</v>
      </c>
      <c r="M368" t="s">
        <v>1638</v>
      </c>
      <c r="N368" t="s">
        <v>1639</v>
      </c>
      <c r="O368" t="s">
        <v>54</v>
      </c>
      <c r="P368" t="s">
        <v>55</v>
      </c>
      <c r="Q368" t="s">
        <v>89</v>
      </c>
      <c r="S368" t="s">
        <v>1282</v>
      </c>
      <c r="V368" t="s">
        <v>59</v>
      </c>
      <c r="W368" t="s">
        <v>90</v>
      </c>
      <c r="X368" t="s">
        <v>61</v>
      </c>
      <c r="Y368" t="s">
        <v>75</v>
      </c>
      <c r="AA368" t="s">
        <v>2086</v>
      </c>
      <c r="AF368" t="s">
        <v>593</v>
      </c>
      <c r="AK368" t="s">
        <v>1641</v>
      </c>
      <c r="AL368" t="s">
        <v>70</v>
      </c>
      <c r="AM368">
        <v>27</v>
      </c>
      <c r="AN368">
        <v>2026</v>
      </c>
      <c r="AO368" t="s">
        <v>71</v>
      </c>
      <c r="AP368">
        <v>27</v>
      </c>
      <c r="AQ368" t="s">
        <v>71</v>
      </c>
    </row>
    <row r="369" spans="1:43" x14ac:dyDescent="0.25">
      <c r="A369">
        <v>368</v>
      </c>
      <c r="B369" t="s">
        <v>43</v>
      </c>
      <c r="C369" t="s">
        <v>2087</v>
      </c>
      <c r="D369" t="s">
        <v>2088</v>
      </c>
      <c r="E369" t="s">
        <v>2089</v>
      </c>
      <c r="F369" t="s">
        <v>47</v>
      </c>
      <c r="I369" t="s">
        <v>50</v>
      </c>
      <c r="J369" t="s">
        <v>51</v>
      </c>
      <c r="K369" s="2">
        <v>46231.745009756902</v>
      </c>
      <c r="L369" s="2">
        <v>46231.7619116551</v>
      </c>
      <c r="M369" t="s">
        <v>1165</v>
      </c>
      <c r="N369" t="s">
        <v>1166</v>
      </c>
      <c r="O369" t="s">
        <v>54</v>
      </c>
      <c r="P369" t="s">
        <v>174</v>
      </c>
      <c r="Q369" t="s">
        <v>79</v>
      </c>
      <c r="R369" t="s">
        <v>707</v>
      </c>
      <c r="S369" t="s">
        <v>1282</v>
      </c>
      <c r="V369" t="s">
        <v>59</v>
      </c>
      <c r="W369" t="s">
        <v>60</v>
      </c>
      <c r="X369" t="s">
        <v>61</v>
      </c>
      <c r="Y369" t="s">
        <v>47</v>
      </c>
      <c r="AA369" t="s">
        <v>2090</v>
      </c>
      <c r="AF369" t="s">
        <v>2091</v>
      </c>
      <c r="AG369" t="s">
        <v>246</v>
      </c>
      <c r="AI369" t="s">
        <v>686</v>
      </c>
      <c r="AJ369" t="s">
        <v>68</v>
      </c>
      <c r="AK369" t="s">
        <v>248</v>
      </c>
      <c r="AL369" t="s">
        <v>70</v>
      </c>
      <c r="AM369">
        <v>28</v>
      </c>
      <c r="AN369">
        <v>2026</v>
      </c>
      <c r="AO369" t="s">
        <v>71</v>
      </c>
      <c r="AP369">
        <v>28</v>
      </c>
      <c r="AQ369" t="s">
        <v>71</v>
      </c>
    </row>
    <row r="370" spans="1:43" x14ac:dyDescent="0.25">
      <c r="A370">
        <v>369</v>
      </c>
      <c r="B370" t="s">
        <v>83</v>
      </c>
      <c r="C370" t="s">
        <v>2092</v>
      </c>
      <c r="D370" t="s">
        <v>2093</v>
      </c>
      <c r="E370" t="s">
        <v>2094</v>
      </c>
      <c r="F370" t="s">
        <v>47</v>
      </c>
      <c r="G370" t="s">
        <v>2095</v>
      </c>
      <c r="H370" t="s">
        <v>2096</v>
      </c>
      <c r="I370" t="s">
        <v>87</v>
      </c>
      <c r="J370" t="s">
        <v>51</v>
      </c>
      <c r="K370" s="2">
        <v>46231.425359918998</v>
      </c>
      <c r="L370" s="2">
        <v>46233.921502349498</v>
      </c>
      <c r="M370" t="s">
        <v>52</v>
      </c>
      <c r="N370" t="s">
        <v>53</v>
      </c>
      <c r="O370" t="s">
        <v>54</v>
      </c>
      <c r="P370" t="s">
        <v>174</v>
      </c>
      <c r="Q370" t="s">
        <v>113</v>
      </c>
      <c r="R370" t="s">
        <v>306</v>
      </c>
      <c r="S370" t="s">
        <v>481</v>
      </c>
      <c r="V370" t="s">
        <v>59</v>
      </c>
      <c r="W370" t="s">
        <v>90</v>
      </c>
      <c r="X370" t="s">
        <v>61</v>
      </c>
      <c r="Y370" t="s">
        <v>47</v>
      </c>
      <c r="Z370" t="s">
        <v>114</v>
      </c>
      <c r="AA370" t="s">
        <v>2097</v>
      </c>
      <c r="AB370">
        <v>275400000</v>
      </c>
      <c r="AC370" t="s">
        <v>481</v>
      </c>
      <c r="AD370" s="2">
        <v>46232</v>
      </c>
      <c r="AE370" t="s">
        <v>2098</v>
      </c>
      <c r="AF370" t="s">
        <v>92</v>
      </c>
      <c r="AG370" t="s">
        <v>66</v>
      </c>
      <c r="AI370" t="s">
        <v>118</v>
      </c>
      <c r="AJ370" t="s">
        <v>68</v>
      </c>
      <c r="AK370" t="s">
        <v>69</v>
      </c>
      <c r="AL370" t="s">
        <v>70</v>
      </c>
      <c r="AM370">
        <v>28</v>
      </c>
      <c r="AN370">
        <v>2026</v>
      </c>
      <c r="AO370" t="s">
        <v>71</v>
      </c>
      <c r="AP370">
        <v>30</v>
      </c>
      <c r="AQ370" t="s">
        <v>71</v>
      </c>
    </row>
    <row r="371" spans="1:43" x14ac:dyDescent="0.25">
      <c r="A371">
        <v>370</v>
      </c>
      <c r="B371" t="s">
        <v>83</v>
      </c>
      <c r="C371" t="s">
        <v>2099</v>
      </c>
      <c r="D371" t="s">
        <v>2100</v>
      </c>
      <c r="E371" t="s">
        <v>2101</v>
      </c>
      <c r="F371" t="s">
        <v>47</v>
      </c>
      <c r="I371" t="s">
        <v>87</v>
      </c>
      <c r="K371" s="2">
        <v>46231.485127581</v>
      </c>
      <c r="L371" s="2">
        <v>46231.493504513899</v>
      </c>
      <c r="M371" t="s">
        <v>1638</v>
      </c>
      <c r="N371" t="s">
        <v>1639</v>
      </c>
      <c r="O371" t="s">
        <v>54</v>
      </c>
      <c r="P371" t="s">
        <v>88</v>
      </c>
      <c r="Q371" t="s">
        <v>161</v>
      </c>
      <c r="S371" t="s">
        <v>1282</v>
      </c>
      <c r="V371" t="s">
        <v>59</v>
      </c>
      <c r="W371" t="s">
        <v>90</v>
      </c>
      <c r="X371" t="s">
        <v>61</v>
      </c>
      <c r="Y371" t="s">
        <v>47</v>
      </c>
      <c r="AA371" t="s">
        <v>2102</v>
      </c>
      <c r="AF371" t="s">
        <v>92</v>
      </c>
      <c r="AI371" t="s">
        <v>1880</v>
      </c>
      <c r="AJ371" t="s">
        <v>68</v>
      </c>
      <c r="AK371" t="s">
        <v>1641</v>
      </c>
      <c r="AL371" t="s">
        <v>70</v>
      </c>
      <c r="AM371">
        <v>28</v>
      </c>
      <c r="AN371">
        <v>2026</v>
      </c>
      <c r="AO371" t="s">
        <v>71</v>
      </c>
      <c r="AP371">
        <v>28</v>
      </c>
      <c r="AQ371" t="s">
        <v>71</v>
      </c>
    </row>
    <row r="372" spans="1:43" x14ac:dyDescent="0.25">
      <c r="A372">
        <v>371</v>
      </c>
      <c r="B372" t="s">
        <v>106</v>
      </c>
      <c r="C372" t="s">
        <v>2103</v>
      </c>
      <c r="D372" t="s">
        <v>2104</v>
      </c>
      <c r="E372" t="s">
        <v>2105</v>
      </c>
      <c r="F372" t="s">
        <v>47</v>
      </c>
      <c r="I372" t="s">
        <v>112</v>
      </c>
      <c r="K372" s="2">
        <v>46231.498852974502</v>
      </c>
      <c r="L372" s="2">
        <v>46231.503574918999</v>
      </c>
      <c r="M372" t="s">
        <v>1638</v>
      </c>
      <c r="N372" t="s">
        <v>1639</v>
      </c>
      <c r="O372" t="s">
        <v>54</v>
      </c>
      <c r="P372" t="s">
        <v>55</v>
      </c>
      <c r="Q372" t="s">
        <v>154</v>
      </c>
      <c r="S372" t="s">
        <v>1282</v>
      </c>
      <c r="V372" t="s">
        <v>59</v>
      </c>
      <c r="W372" t="s">
        <v>60</v>
      </c>
      <c r="X372" t="s">
        <v>61</v>
      </c>
      <c r="Y372" t="s">
        <v>47</v>
      </c>
      <c r="AA372" t="s">
        <v>2106</v>
      </c>
      <c r="AF372" t="s">
        <v>117</v>
      </c>
      <c r="AI372" t="s">
        <v>851</v>
      </c>
      <c r="AJ372" t="s">
        <v>68</v>
      </c>
      <c r="AK372" t="s">
        <v>1641</v>
      </c>
      <c r="AL372" t="s">
        <v>70</v>
      </c>
      <c r="AM372">
        <v>28</v>
      </c>
      <c r="AN372">
        <v>2026</v>
      </c>
      <c r="AO372" t="s">
        <v>71</v>
      </c>
      <c r="AP372">
        <v>28</v>
      </c>
      <c r="AQ372" t="s">
        <v>71</v>
      </c>
    </row>
    <row r="373" spans="1:43" x14ac:dyDescent="0.25">
      <c r="A373">
        <v>372</v>
      </c>
      <c r="B373" t="s">
        <v>106</v>
      </c>
      <c r="C373" t="s">
        <v>2107</v>
      </c>
      <c r="D373" t="s">
        <v>2108</v>
      </c>
      <c r="E373" t="s">
        <v>2109</v>
      </c>
      <c r="F373" t="s">
        <v>75</v>
      </c>
      <c r="I373" t="s">
        <v>112</v>
      </c>
      <c r="J373" t="s">
        <v>51</v>
      </c>
      <c r="K373" s="2">
        <v>46231.666416666703</v>
      </c>
      <c r="L373" s="2">
        <v>46233.382065705999</v>
      </c>
      <c r="M373" t="s">
        <v>1165</v>
      </c>
      <c r="N373" t="s">
        <v>1166</v>
      </c>
      <c r="O373" t="s">
        <v>54</v>
      </c>
      <c r="P373" t="s">
        <v>146</v>
      </c>
      <c r="Q373" t="s">
        <v>185</v>
      </c>
      <c r="R373" t="s">
        <v>243</v>
      </c>
      <c r="S373" t="s">
        <v>2110</v>
      </c>
      <c r="V373" t="s">
        <v>59</v>
      </c>
      <c r="W373" t="s">
        <v>60</v>
      </c>
      <c r="X373" t="s">
        <v>61</v>
      </c>
      <c r="Y373" t="s">
        <v>75</v>
      </c>
      <c r="AA373" t="s">
        <v>2111</v>
      </c>
      <c r="AF373" t="s">
        <v>117</v>
      </c>
      <c r="AG373" t="s">
        <v>246</v>
      </c>
      <c r="AK373" t="s">
        <v>248</v>
      </c>
      <c r="AL373" t="s">
        <v>70</v>
      </c>
      <c r="AM373">
        <v>28</v>
      </c>
      <c r="AN373">
        <v>2026</v>
      </c>
      <c r="AO373" t="s">
        <v>71</v>
      </c>
      <c r="AP373">
        <v>30</v>
      </c>
      <c r="AQ373" t="s">
        <v>71</v>
      </c>
    </row>
    <row r="374" spans="1:43" x14ac:dyDescent="0.25">
      <c r="A374">
        <v>373</v>
      </c>
      <c r="B374" t="s">
        <v>345</v>
      </c>
      <c r="C374" t="s">
        <v>2112</v>
      </c>
      <c r="D374" t="s">
        <v>2113</v>
      </c>
      <c r="E374" t="s">
        <v>2114</v>
      </c>
      <c r="F374" t="s">
        <v>75</v>
      </c>
      <c r="I374" t="s">
        <v>435</v>
      </c>
      <c r="K374" s="2">
        <v>46231.2899581366</v>
      </c>
      <c r="L374" s="2">
        <v>46231.298678669002</v>
      </c>
      <c r="M374" t="s">
        <v>1638</v>
      </c>
      <c r="N374" t="s">
        <v>1639</v>
      </c>
      <c r="O374" t="s">
        <v>54</v>
      </c>
      <c r="P374" t="s">
        <v>55</v>
      </c>
      <c r="Q374" t="s">
        <v>185</v>
      </c>
      <c r="S374" t="s">
        <v>1282</v>
      </c>
      <c r="V374" t="s">
        <v>59</v>
      </c>
      <c r="W374" t="s">
        <v>90</v>
      </c>
      <c r="X374" t="s">
        <v>61</v>
      </c>
      <c r="Y374" t="s">
        <v>75</v>
      </c>
      <c r="AA374" t="s">
        <v>2115</v>
      </c>
      <c r="AF374" t="s">
        <v>2116</v>
      </c>
      <c r="AK374" t="s">
        <v>1641</v>
      </c>
      <c r="AL374" t="s">
        <v>70</v>
      </c>
      <c r="AM374">
        <v>28</v>
      </c>
      <c r="AN374">
        <v>2026</v>
      </c>
      <c r="AO374" t="s">
        <v>71</v>
      </c>
      <c r="AP374">
        <v>28</v>
      </c>
      <c r="AQ374" t="s">
        <v>71</v>
      </c>
    </row>
    <row r="375" spans="1:43" x14ac:dyDescent="0.25">
      <c r="A375">
        <v>374</v>
      </c>
      <c r="B375" t="s">
        <v>1716</v>
      </c>
      <c r="C375" t="s">
        <v>2117</v>
      </c>
      <c r="D375" t="s">
        <v>2118</v>
      </c>
      <c r="E375" t="s">
        <v>2119</v>
      </c>
      <c r="F375" t="s">
        <v>47</v>
      </c>
      <c r="H375" t="s">
        <v>2120</v>
      </c>
      <c r="I375" t="s">
        <v>1721</v>
      </c>
      <c r="J375" t="s">
        <v>51</v>
      </c>
      <c r="K375" s="2">
        <v>46231.383165590298</v>
      </c>
      <c r="L375" s="2">
        <v>46233.743115046302</v>
      </c>
      <c r="M375" t="s">
        <v>241</v>
      </c>
      <c r="N375" t="s">
        <v>242</v>
      </c>
      <c r="O375" t="s">
        <v>54</v>
      </c>
      <c r="P375" t="s">
        <v>174</v>
      </c>
      <c r="Q375" t="s">
        <v>218</v>
      </c>
      <c r="R375" t="s">
        <v>2121</v>
      </c>
      <c r="S375" t="s">
        <v>58</v>
      </c>
      <c r="V375" t="s">
        <v>59</v>
      </c>
      <c r="W375" t="s">
        <v>90</v>
      </c>
      <c r="X375" t="s">
        <v>61</v>
      </c>
      <c r="Y375" t="s">
        <v>47</v>
      </c>
      <c r="Z375" t="s">
        <v>114</v>
      </c>
      <c r="AA375" t="s">
        <v>2122</v>
      </c>
      <c r="AC375" t="s">
        <v>58</v>
      </c>
      <c r="AD375" s="2">
        <v>46233</v>
      </c>
      <c r="AE375" t="s">
        <v>1723</v>
      </c>
      <c r="AF375" t="s">
        <v>1723</v>
      </c>
      <c r="AG375" t="s">
        <v>246</v>
      </c>
      <c r="AI375" t="s">
        <v>470</v>
      </c>
      <c r="AJ375" t="s">
        <v>68</v>
      </c>
      <c r="AK375" t="s">
        <v>248</v>
      </c>
      <c r="AL375" t="s">
        <v>70</v>
      </c>
      <c r="AM375">
        <v>28</v>
      </c>
      <c r="AN375">
        <v>2026</v>
      </c>
      <c r="AO375" t="s">
        <v>71</v>
      </c>
      <c r="AP375">
        <v>30</v>
      </c>
      <c r="AQ375" t="s">
        <v>71</v>
      </c>
    </row>
    <row r="376" spans="1:43" x14ac:dyDescent="0.25">
      <c r="A376">
        <v>375</v>
      </c>
      <c r="B376" t="s">
        <v>222</v>
      </c>
      <c r="C376" t="s">
        <v>2123</v>
      </c>
      <c r="D376" t="s">
        <v>2124</v>
      </c>
      <c r="E376" t="s">
        <v>2125</v>
      </c>
      <c r="F376" t="s">
        <v>47</v>
      </c>
      <c r="I376" t="s">
        <v>226</v>
      </c>
      <c r="K376" s="2">
        <v>46231.363853356503</v>
      </c>
      <c r="L376" s="2">
        <v>46231.375261689798</v>
      </c>
      <c r="M376" t="s">
        <v>1638</v>
      </c>
      <c r="N376" t="s">
        <v>1639</v>
      </c>
      <c r="O376" t="s">
        <v>54</v>
      </c>
      <c r="P376" t="s">
        <v>55</v>
      </c>
      <c r="Q376" t="s">
        <v>161</v>
      </c>
      <c r="S376" t="s">
        <v>1282</v>
      </c>
      <c r="V376" t="s">
        <v>59</v>
      </c>
      <c r="W376" t="s">
        <v>90</v>
      </c>
      <c r="X376" t="s">
        <v>61</v>
      </c>
      <c r="Y376" t="s">
        <v>47</v>
      </c>
      <c r="AA376" t="s">
        <v>2126</v>
      </c>
      <c r="AF376" t="s">
        <v>2127</v>
      </c>
      <c r="AI376" t="s">
        <v>2128</v>
      </c>
      <c r="AJ376" t="s">
        <v>68</v>
      </c>
      <c r="AK376" t="s">
        <v>1641</v>
      </c>
      <c r="AL376" t="s">
        <v>70</v>
      </c>
      <c r="AM376">
        <v>28</v>
      </c>
      <c r="AN376">
        <v>2026</v>
      </c>
      <c r="AO376" t="s">
        <v>71</v>
      </c>
      <c r="AP376">
        <v>28</v>
      </c>
      <c r="AQ376" t="s">
        <v>71</v>
      </c>
    </row>
    <row r="377" spans="1:43" x14ac:dyDescent="0.25">
      <c r="A377">
        <v>376</v>
      </c>
      <c r="B377" t="s">
        <v>1073</v>
      </c>
      <c r="C377" t="s">
        <v>2129</v>
      </c>
      <c r="D377" t="s">
        <v>2130</v>
      </c>
      <c r="E377" t="s">
        <v>2131</v>
      </c>
      <c r="F377" t="s">
        <v>47</v>
      </c>
      <c r="I377" t="s">
        <v>1268</v>
      </c>
      <c r="K377" s="2">
        <v>46231.389115775499</v>
      </c>
      <c r="L377" s="2">
        <v>46231.407411111097</v>
      </c>
      <c r="M377" t="s">
        <v>1165</v>
      </c>
      <c r="N377" t="s">
        <v>1166</v>
      </c>
      <c r="O377" t="s">
        <v>54</v>
      </c>
      <c r="P377" t="s">
        <v>2132</v>
      </c>
      <c r="Q377" t="s">
        <v>571</v>
      </c>
      <c r="R377" t="s">
        <v>57</v>
      </c>
      <c r="S377" t="s">
        <v>1282</v>
      </c>
      <c r="V377" t="s">
        <v>59</v>
      </c>
      <c r="W377" t="s">
        <v>60</v>
      </c>
      <c r="X377" t="s">
        <v>61</v>
      </c>
      <c r="Y377" t="s">
        <v>47</v>
      </c>
      <c r="AA377" t="s">
        <v>2133</v>
      </c>
      <c r="AF377" t="s">
        <v>65</v>
      </c>
      <c r="AI377" t="s">
        <v>1421</v>
      </c>
      <c r="AJ377" t="s">
        <v>68</v>
      </c>
      <c r="AK377" t="s">
        <v>248</v>
      </c>
      <c r="AL377" t="s">
        <v>70</v>
      </c>
      <c r="AM377">
        <v>28</v>
      </c>
      <c r="AN377">
        <v>2026</v>
      </c>
      <c r="AO377" t="s">
        <v>71</v>
      </c>
      <c r="AP377">
        <v>28</v>
      </c>
      <c r="AQ377" t="s">
        <v>71</v>
      </c>
    </row>
    <row r="378" spans="1:43" x14ac:dyDescent="0.25">
      <c r="A378">
        <v>377</v>
      </c>
      <c r="B378" t="s">
        <v>1073</v>
      </c>
      <c r="C378" t="s">
        <v>2134</v>
      </c>
      <c r="D378" t="s">
        <v>2135</v>
      </c>
      <c r="E378" t="s">
        <v>2136</v>
      </c>
      <c r="F378" t="s">
        <v>47</v>
      </c>
      <c r="I378" t="s">
        <v>1268</v>
      </c>
      <c r="K378" s="2">
        <v>46231.4465706829</v>
      </c>
      <c r="L378" s="2">
        <v>46231.456585150503</v>
      </c>
      <c r="M378" t="s">
        <v>76</v>
      </c>
      <c r="N378" t="s">
        <v>77</v>
      </c>
      <c r="O378" t="s">
        <v>54</v>
      </c>
      <c r="P378" t="s">
        <v>174</v>
      </c>
      <c r="Q378" t="s">
        <v>218</v>
      </c>
      <c r="R378" t="s">
        <v>57</v>
      </c>
      <c r="S378" t="s">
        <v>68</v>
      </c>
      <c r="V378" t="s">
        <v>59</v>
      </c>
      <c r="W378" t="s">
        <v>60</v>
      </c>
      <c r="X378" t="s">
        <v>61</v>
      </c>
      <c r="Y378" t="s">
        <v>47</v>
      </c>
      <c r="AA378" t="s">
        <v>2137</v>
      </c>
      <c r="AF378" t="s">
        <v>65</v>
      </c>
      <c r="AI378" t="s">
        <v>1421</v>
      </c>
      <c r="AJ378" t="s">
        <v>68</v>
      </c>
      <c r="AK378" t="s">
        <v>82</v>
      </c>
      <c r="AL378" t="s">
        <v>70</v>
      </c>
      <c r="AM378">
        <v>28</v>
      </c>
      <c r="AN378">
        <v>2026</v>
      </c>
      <c r="AO378" t="s">
        <v>71</v>
      </c>
      <c r="AP378">
        <v>28</v>
      </c>
      <c r="AQ378" t="s">
        <v>71</v>
      </c>
    </row>
    <row r="379" spans="1:43" x14ac:dyDescent="0.25">
      <c r="A379">
        <v>378</v>
      </c>
      <c r="B379" t="s">
        <v>229</v>
      </c>
      <c r="C379" t="s">
        <v>2138</v>
      </c>
      <c r="D379" t="s">
        <v>2139</v>
      </c>
      <c r="E379" t="s">
        <v>2140</v>
      </c>
      <c r="F379" t="s">
        <v>47</v>
      </c>
      <c r="I379" t="s">
        <v>233</v>
      </c>
      <c r="K379" s="2">
        <v>46231.515478854199</v>
      </c>
      <c r="L379" s="2">
        <v>46231.524392048603</v>
      </c>
      <c r="M379" t="s">
        <v>1638</v>
      </c>
      <c r="N379" t="s">
        <v>1639</v>
      </c>
      <c r="O379" t="s">
        <v>54</v>
      </c>
      <c r="P379" t="s">
        <v>88</v>
      </c>
      <c r="Q379" t="s">
        <v>89</v>
      </c>
      <c r="S379" t="s">
        <v>1282</v>
      </c>
      <c r="V379" t="s">
        <v>59</v>
      </c>
      <c r="W379" t="s">
        <v>90</v>
      </c>
      <c r="X379" t="s">
        <v>61</v>
      </c>
      <c r="Y379" t="s">
        <v>47</v>
      </c>
      <c r="AA379" t="s">
        <v>2141</v>
      </c>
      <c r="AF379" t="s">
        <v>245</v>
      </c>
      <c r="AI379" t="s">
        <v>1097</v>
      </c>
      <c r="AJ379" t="s">
        <v>68</v>
      </c>
      <c r="AK379" t="s">
        <v>1641</v>
      </c>
      <c r="AL379" t="s">
        <v>70</v>
      </c>
      <c r="AM379">
        <v>28</v>
      </c>
      <c r="AN379">
        <v>2026</v>
      </c>
      <c r="AO379" t="s">
        <v>71</v>
      </c>
      <c r="AP379">
        <v>28</v>
      </c>
      <c r="AQ379" t="s">
        <v>71</v>
      </c>
    </row>
    <row r="380" spans="1:43" x14ac:dyDescent="0.25">
      <c r="A380">
        <v>379</v>
      </c>
      <c r="B380" t="s">
        <v>263</v>
      </c>
      <c r="C380" t="s">
        <v>2142</v>
      </c>
      <c r="D380" t="s">
        <v>2143</v>
      </c>
      <c r="E380" t="s">
        <v>2144</v>
      </c>
      <c r="F380" t="s">
        <v>274</v>
      </c>
      <c r="H380" t="s">
        <v>2145</v>
      </c>
      <c r="I380" t="s">
        <v>267</v>
      </c>
      <c r="J380" t="s">
        <v>51</v>
      </c>
      <c r="K380" s="2">
        <v>46231.625533761602</v>
      </c>
      <c r="L380" s="2">
        <v>46231.640220833302</v>
      </c>
      <c r="M380" t="s">
        <v>1165</v>
      </c>
      <c r="N380" t="s">
        <v>1166</v>
      </c>
      <c r="O380" t="s">
        <v>54</v>
      </c>
      <c r="P380" t="s">
        <v>55</v>
      </c>
      <c r="Q380" t="s">
        <v>56</v>
      </c>
      <c r="R380" t="s">
        <v>57</v>
      </c>
      <c r="S380" t="s">
        <v>2146</v>
      </c>
      <c r="V380" t="s">
        <v>59</v>
      </c>
      <c r="W380" t="s">
        <v>90</v>
      </c>
      <c r="X380" t="s">
        <v>61</v>
      </c>
      <c r="Y380" t="s">
        <v>274</v>
      </c>
      <c r="Z380" t="s">
        <v>372</v>
      </c>
      <c r="AA380" t="s">
        <v>2147</v>
      </c>
      <c r="AC380" t="s">
        <v>58</v>
      </c>
      <c r="AD380" s="2">
        <v>46233</v>
      </c>
      <c r="AE380" t="s">
        <v>92</v>
      </c>
      <c r="AF380" t="s">
        <v>92</v>
      </c>
      <c r="AG380" t="s">
        <v>246</v>
      </c>
      <c r="AK380" t="s">
        <v>248</v>
      </c>
      <c r="AL380" t="s">
        <v>277</v>
      </c>
      <c r="AM380">
        <v>28</v>
      </c>
      <c r="AN380">
        <v>2026</v>
      </c>
      <c r="AO380" t="s">
        <v>71</v>
      </c>
      <c r="AP380">
        <v>28</v>
      </c>
      <c r="AQ380" t="s">
        <v>71</v>
      </c>
    </row>
    <row r="381" spans="1:43" x14ac:dyDescent="0.25">
      <c r="A381">
        <v>380</v>
      </c>
      <c r="B381" t="s">
        <v>400</v>
      </c>
      <c r="C381" t="s">
        <v>2148</v>
      </c>
      <c r="D381" t="s">
        <v>2149</v>
      </c>
      <c r="E381" t="s">
        <v>2150</v>
      </c>
      <c r="F381" t="s">
        <v>47</v>
      </c>
      <c r="I381" t="s">
        <v>404</v>
      </c>
      <c r="K381" s="2">
        <v>46231.443134224501</v>
      </c>
      <c r="L381" s="2">
        <v>46231.456576701399</v>
      </c>
      <c r="M381" t="s">
        <v>1165</v>
      </c>
      <c r="N381" t="s">
        <v>1166</v>
      </c>
      <c r="O381" t="s">
        <v>54</v>
      </c>
      <c r="P381" t="s">
        <v>174</v>
      </c>
      <c r="Q381" t="s">
        <v>218</v>
      </c>
      <c r="R381" t="s">
        <v>57</v>
      </c>
      <c r="S381" t="s">
        <v>1282</v>
      </c>
      <c r="V381" t="s">
        <v>59</v>
      </c>
      <c r="W381" t="s">
        <v>90</v>
      </c>
      <c r="X381" t="s">
        <v>61</v>
      </c>
      <c r="Y381" t="s">
        <v>47</v>
      </c>
      <c r="AA381" t="s">
        <v>2151</v>
      </c>
      <c r="AF381" t="s">
        <v>2152</v>
      </c>
      <c r="AI381" t="s">
        <v>1590</v>
      </c>
      <c r="AJ381" t="s">
        <v>68</v>
      </c>
      <c r="AK381" t="s">
        <v>248</v>
      </c>
      <c r="AL381" t="s">
        <v>70</v>
      </c>
      <c r="AM381">
        <v>28</v>
      </c>
      <c r="AN381">
        <v>2026</v>
      </c>
      <c r="AO381" t="s">
        <v>71</v>
      </c>
      <c r="AP381">
        <v>28</v>
      </c>
      <c r="AQ381" t="s">
        <v>71</v>
      </c>
    </row>
    <row r="382" spans="1:43" x14ac:dyDescent="0.25">
      <c r="A382">
        <v>381</v>
      </c>
      <c r="B382" t="s">
        <v>43</v>
      </c>
      <c r="C382" t="s">
        <v>2153</v>
      </c>
      <c r="D382" t="s">
        <v>2154</v>
      </c>
      <c r="E382" t="s">
        <v>2155</v>
      </c>
      <c r="F382" t="s">
        <v>47</v>
      </c>
      <c r="G382" t="s">
        <v>2156</v>
      </c>
      <c r="H382" t="s">
        <v>2157</v>
      </c>
      <c r="I382" t="s">
        <v>50</v>
      </c>
      <c r="J382" t="s">
        <v>51</v>
      </c>
      <c r="K382" s="2">
        <v>46232.728477546298</v>
      </c>
      <c r="L382" s="2">
        <v>46233.666609293999</v>
      </c>
      <c r="M382" t="s">
        <v>52</v>
      </c>
      <c r="N382" t="s">
        <v>53</v>
      </c>
      <c r="O382" t="s">
        <v>54</v>
      </c>
      <c r="P382" t="s">
        <v>88</v>
      </c>
      <c r="Q382" t="s">
        <v>56</v>
      </c>
      <c r="R382" t="s">
        <v>707</v>
      </c>
      <c r="S382" t="s">
        <v>481</v>
      </c>
      <c r="V382" t="s">
        <v>59</v>
      </c>
      <c r="W382" t="s">
        <v>60</v>
      </c>
      <c r="X382" t="s">
        <v>61</v>
      </c>
      <c r="Y382" t="s">
        <v>47</v>
      </c>
      <c r="Z382" t="s">
        <v>114</v>
      </c>
      <c r="AA382" t="s">
        <v>2158</v>
      </c>
      <c r="AB382">
        <v>153318000</v>
      </c>
      <c r="AC382" t="s">
        <v>481</v>
      </c>
      <c r="AD382" s="2">
        <v>46233</v>
      </c>
      <c r="AE382" t="s">
        <v>2159</v>
      </c>
      <c r="AF382" t="s">
        <v>2159</v>
      </c>
      <c r="AG382" t="s">
        <v>66</v>
      </c>
      <c r="AI382" t="s">
        <v>686</v>
      </c>
      <c r="AJ382" t="s">
        <v>68</v>
      </c>
      <c r="AK382" t="s">
        <v>69</v>
      </c>
      <c r="AL382" t="s">
        <v>70</v>
      </c>
      <c r="AM382">
        <v>29</v>
      </c>
      <c r="AN382">
        <v>2026</v>
      </c>
      <c r="AO382" t="s">
        <v>71</v>
      </c>
      <c r="AP382">
        <v>30</v>
      </c>
      <c r="AQ382" t="s">
        <v>71</v>
      </c>
    </row>
    <row r="383" spans="1:43" x14ac:dyDescent="0.25">
      <c r="A383">
        <v>382</v>
      </c>
      <c r="B383" t="s">
        <v>83</v>
      </c>
      <c r="C383" t="s">
        <v>2160</v>
      </c>
      <c r="D383" t="s">
        <v>2161</v>
      </c>
      <c r="E383" t="s">
        <v>2162</v>
      </c>
      <c r="F383" t="s">
        <v>47</v>
      </c>
      <c r="I383" t="s">
        <v>87</v>
      </c>
      <c r="K383" s="2">
        <v>46232.640618750003</v>
      </c>
      <c r="L383" s="2">
        <v>46232.645943553202</v>
      </c>
      <c r="M383" t="s">
        <v>1638</v>
      </c>
      <c r="N383" t="s">
        <v>1639</v>
      </c>
      <c r="O383" t="s">
        <v>54</v>
      </c>
      <c r="P383" t="s">
        <v>88</v>
      </c>
      <c r="Q383" t="s">
        <v>185</v>
      </c>
      <c r="S383" t="s">
        <v>1282</v>
      </c>
      <c r="V383" t="s">
        <v>59</v>
      </c>
      <c r="W383" t="s">
        <v>90</v>
      </c>
      <c r="X383" t="s">
        <v>61</v>
      </c>
      <c r="Y383" t="s">
        <v>47</v>
      </c>
      <c r="AA383" t="s">
        <v>2163</v>
      </c>
      <c r="AF383" t="s">
        <v>92</v>
      </c>
      <c r="AI383" t="s">
        <v>910</v>
      </c>
      <c r="AJ383" t="s">
        <v>68</v>
      </c>
      <c r="AK383" t="s">
        <v>1641</v>
      </c>
      <c r="AL383" t="s">
        <v>70</v>
      </c>
      <c r="AM383">
        <v>29</v>
      </c>
      <c r="AN383">
        <v>2026</v>
      </c>
      <c r="AO383" t="s">
        <v>71</v>
      </c>
      <c r="AP383">
        <v>29</v>
      </c>
      <c r="AQ383" t="s">
        <v>71</v>
      </c>
    </row>
    <row r="384" spans="1:43" x14ac:dyDescent="0.25">
      <c r="A384">
        <v>383</v>
      </c>
      <c r="B384" t="s">
        <v>829</v>
      </c>
      <c r="C384" t="s">
        <v>2164</v>
      </c>
      <c r="D384" t="s">
        <v>2165</v>
      </c>
      <c r="E384" t="s">
        <v>2166</v>
      </c>
      <c r="F384" t="s">
        <v>47</v>
      </c>
      <c r="G384" t="s">
        <v>2592</v>
      </c>
      <c r="H384" t="s">
        <v>2167</v>
      </c>
      <c r="I384" t="s">
        <v>833</v>
      </c>
      <c r="J384" t="s">
        <v>51</v>
      </c>
      <c r="K384" s="2">
        <v>46232.867736805601</v>
      </c>
      <c r="L384" s="2">
        <v>46234.472005671298</v>
      </c>
      <c r="M384" t="s">
        <v>1999</v>
      </c>
      <c r="N384" t="s">
        <v>2000</v>
      </c>
      <c r="O384" t="s">
        <v>54</v>
      </c>
      <c r="P384" t="s">
        <v>174</v>
      </c>
      <c r="Q384" t="s">
        <v>161</v>
      </c>
      <c r="R384" t="s">
        <v>2168</v>
      </c>
      <c r="S384" t="s">
        <v>481</v>
      </c>
      <c r="V384" t="s">
        <v>59</v>
      </c>
      <c r="W384" t="s">
        <v>90</v>
      </c>
      <c r="X384" t="s">
        <v>61</v>
      </c>
      <c r="Y384" t="s">
        <v>47</v>
      </c>
      <c r="Z384" t="s">
        <v>953</v>
      </c>
      <c r="AA384" t="s">
        <v>2169</v>
      </c>
      <c r="AB384">
        <v>103150000</v>
      </c>
      <c r="AC384" t="s">
        <v>481</v>
      </c>
      <c r="AD384" s="2">
        <v>46233</v>
      </c>
      <c r="AE384" t="s">
        <v>2593</v>
      </c>
      <c r="AF384" t="s">
        <v>92</v>
      </c>
      <c r="AG384" t="s">
        <v>66</v>
      </c>
      <c r="AI384" t="s">
        <v>835</v>
      </c>
      <c r="AJ384" t="s">
        <v>68</v>
      </c>
      <c r="AK384" t="s">
        <v>1514</v>
      </c>
      <c r="AL384" t="s">
        <v>70</v>
      </c>
      <c r="AM384">
        <v>29</v>
      </c>
      <c r="AN384">
        <v>2026</v>
      </c>
      <c r="AO384" t="s">
        <v>71</v>
      </c>
      <c r="AP384">
        <v>31</v>
      </c>
      <c r="AQ384" t="s">
        <v>71</v>
      </c>
    </row>
    <row r="385" spans="1:43" x14ac:dyDescent="0.25">
      <c r="A385">
        <v>384</v>
      </c>
      <c r="B385" t="s">
        <v>197</v>
      </c>
      <c r="C385" t="s">
        <v>2170</v>
      </c>
      <c r="D385" t="s">
        <v>2171</v>
      </c>
      <c r="E385" t="s">
        <v>2172</v>
      </c>
      <c r="F385" t="s">
        <v>75</v>
      </c>
      <c r="I385" t="s">
        <v>201</v>
      </c>
      <c r="K385" s="2">
        <v>46232.663610335701</v>
      </c>
      <c r="L385" s="2">
        <v>46232.670628784697</v>
      </c>
      <c r="M385" t="s">
        <v>1638</v>
      </c>
      <c r="N385" t="s">
        <v>1639</v>
      </c>
      <c r="O385" t="s">
        <v>54</v>
      </c>
      <c r="P385" t="s">
        <v>2173</v>
      </c>
      <c r="Q385" t="s">
        <v>56</v>
      </c>
      <c r="S385" t="s">
        <v>1282</v>
      </c>
      <c r="V385" t="s">
        <v>59</v>
      </c>
      <c r="W385" t="s">
        <v>90</v>
      </c>
      <c r="X385" t="s">
        <v>61</v>
      </c>
      <c r="Y385" t="s">
        <v>75</v>
      </c>
      <c r="AA385" t="s">
        <v>2174</v>
      </c>
      <c r="AF385" t="s">
        <v>92</v>
      </c>
      <c r="AK385" t="s">
        <v>1641</v>
      </c>
      <c r="AL385" t="s">
        <v>70</v>
      </c>
      <c r="AM385">
        <v>29</v>
      </c>
      <c r="AN385">
        <v>2026</v>
      </c>
      <c r="AO385" t="s">
        <v>71</v>
      </c>
      <c r="AP385">
        <v>29</v>
      </c>
      <c r="AQ385" t="s">
        <v>71</v>
      </c>
    </row>
    <row r="386" spans="1:43" x14ac:dyDescent="0.25">
      <c r="A386">
        <v>385</v>
      </c>
      <c r="B386" t="s">
        <v>106</v>
      </c>
      <c r="C386" t="s">
        <v>2175</v>
      </c>
      <c r="D386" t="s">
        <v>2176</v>
      </c>
      <c r="E386" t="s">
        <v>2177</v>
      </c>
      <c r="F386" t="s">
        <v>47</v>
      </c>
      <c r="H386" t="s">
        <v>2178</v>
      </c>
      <c r="I386" t="s">
        <v>112</v>
      </c>
      <c r="J386" t="s">
        <v>51</v>
      </c>
      <c r="K386" s="2">
        <v>46232.346085613397</v>
      </c>
      <c r="L386" s="2">
        <v>46233.594654201399</v>
      </c>
      <c r="M386" t="s">
        <v>241</v>
      </c>
      <c r="N386" t="s">
        <v>242</v>
      </c>
      <c r="O386" t="s">
        <v>54</v>
      </c>
      <c r="P386" t="s">
        <v>55</v>
      </c>
      <c r="Q386" t="s">
        <v>56</v>
      </c>
      <c r="R386" t="s">
        <v>57</v>
      </c>
      <c r="S386" t="s">
        <v>481</v>
      </c>
      <c r="V386" t="s">
        <v>59</v>
      </c>
      <c r="W386" t="s">
        <v>60</v>
      </c>
      <c r="X386" t="s">
        <v>61</v>
      </c>
      <c r="Y386" t="s">
        <v>47</v>
      </c>
      <c r="Z386" t="s">
        <v>176</v>
      </c>
      <c r="AA386" t="s">
        <v>134</v>
      </c>
      <c r="AC386" t="s">
        <v>481</v>
      </c>
      <c r="AD386" s="2">
        <v>46233</v>
      </c>
      <c r="AE386" t="s">
        <v>65</v>
      </c>
      <c r="AF386" t="s">
        <v>117</v>
      </c>
      <c r="AG386" t="s">
        <v>246</v>
      </c>
      <c r="AI386" t="s">
        <v>1503</v>
      </c>
      <c r="AJ386" t="s">
        <v>68</v>
      </c>
      <c r="AK386" t="s">
        <v>248</v>
      </c>
      <c r="AL386" t="s">
        <v>70</v>
      </c>
      <c r="AM386">
        <v>29</v>
      </c>
      <c r="AN386">
        <v>2026</v>
      </c>
      <c r="AO386" t="s">
        <v>71</v>
      </c>
      <c r="AP386">
        <v>30</v>
      </c>
      <c r="AQ386" t="s">
        <v>71</v>
      </c>
    </row>
    <row r="387" spans="1:43" x14ac:dyDescent="0.25">
      <c r="A387">
        <v>386</v>
      </c>
      <c r="B387" t="s">
        <v>213</v>
      </c>
      <c r="C387" t="s">
        <v>2179</v>
      </c>
      <c r="D387" t="s">
        <v>2180</v>
      </c>
      <c r="E387" t="s">
        <v>2181</v>
      </c>
      <c r="F387" t="s">
        <v>47</v>
      </c>
      <c r="I387" t="s">
        <v>217</v>
      </c>
      <c r="K387" s="2">
        <v>46232.463058483801</v>
      </c>
      <c r="L387" s="2">
        <v>46232.469722256901</v>
      </c>
      <c r="M387" t="s">
        <v>1638</v>
      </c>
      <c r="N387" t="s">
        <v>1639</v>
      </c>
      <c r="O387" t="s">
        <v>54</v>
      </c>
      <c r="P387" t="s">
        <v>55</v>
      </c>
      <c r="Q387" t="s">
        <v>154</v>
      </c>
      <c r="S387" t="s">
        <v>1282</v>
      </c>
      <c r="V387" t="s">
        <v>59</v>
      </c>
      <c r="W387" t="s">
        <v>90</v>
      </c>
      <c r="X387" t="s">
        <v>61</v>
      </c>
      <c r="Y387" t="s">
        <v>47</v>
      </c>
      <c r="AA387" t="s">
        <v>2182</v>
      </c>
      <c r="AF387" t="s">
        <v>1792</v>
      </c>
      <c r="AI387" t="s">
        <v>739</v>
      </c>
      <c r="AJ387" t="s">
        <v>68</v>
      </c>
      <c r="AK387" t="s">
        <v>1641</v>
      </c>
      <c r="AL387" t="s">
        <v>70</v>
      </c>
      <c r="AM387">
        <v>29</v>
      </c>
      <c r="AN387">
        <v>2026</v>
      </c>
      <c r="AO387" t="s">
        <v>71</v>
      </c>
      <c r="AP387">
        <v>29</v>
      </c>
      <c r="AQ387" t="s">
        <v>71</v>
      </c>
    </row>
    <row r="388" spans="1:43" x14ac:dyDescent="0.25">
      <c r="A388">
        <v>387</v>
      </c>
      <c r="B388" t="s">
        <v>345</v>
      </c>
      <c r="C388" t="s">
        <v>2183</v>
      </c>
      <c r="D388" t="s">
        <v>2184</v>
      </c>
      <c r="E388" t="s">
        <v>2185</v>
      </c>
      <c r="F388" t="s">
        <v>47</v>
      </c>
      <c r="I388" t="s">
        <v>435</v>
      </c>
      <c r="K388" s="2">
        <v>46232.763357291697</v>
      </c>
      <c r="L388" s="2">
        <v>46233.403103159697</v>
      </c>
      <c r="M388" t="s">
        <v>1638</v>
      </c>
      <c r="N388" t="s">
        <v>1639</v>
      </c>
      <c r="O388" t="s">
        <v>54</v>
      </c>
      <c r="P388" t="s">
        <v>55</v>
      </c>
      <c r="Q388" t="s">
        <v>621</v>
      </c>
      <c r="S388" t="s">
        <v>1282</v>
      </c>
      <c r="V388" t="s">
        <v>59</v>
      </c>
      <c r="W388" t="s">
        <v>90</v>
      </c>
      <c r="X388" t="s">
        <v>61</v>
      </c>
      <c r="Y388" t="s">
        <v>47</v>
      </c>
      <c r="AA388" t="s">
        <v>2186</v>
      </c>
      <c r="AF388" t="s">
        <v>2187</v>
      </c>
      <c r="AI388" t="s">
        <v>1711</v>
      </c>
      <c r="AJ388" t="s">
        <v>68</v>
      </c>
      <c r="AK388" t="s">
        <v>1641</v>
      </c>
      <c r="AL388" t="s">
        <v>70</v>
      </c>
      <c r="AM388">
        <v>29</v>
      </c>
      <c r="AN388">
        <v>2026</v>
      </c>
      <c r="AO388" t="s">
        <v>71</v>
      </c>
      <c r="AP388">
        <v>30</v>
      </c>
      <c r="AQ388" t="s">
        <v>71</v>
      </c>
    </row>
    <row r="389" spans="1:43" x14ac:dyDescent="0.25">
      <c r="A389">
        <v>388</v>
      </c>
      <c r="B389" t="s">
        <v>222</v>
      </c>
      <c r="C389" t="s">
        <v>2188</v>
      </c>
      <c r="D389" t="s">
        <v>2189</v>
      </c>
      <c r="E389" t="s">
        <v>2190</v>
      </c>
      <c r="F389" t="s">
        <v>47</v>
      </c>
      <c r="I389" t="s">
        <v>226</v>
      </c>
      <c r="K389" s="2">
        <v>46232.366912580997</v>
      </c>
      <c r="L389" s="2">
        <v>46232.375101006903</v>
      </c>
      <c r="M389" t="s">
        <v>76</v>
      </c>
      <c r="N389" t="s">
        <v>77</v>
      </c>
      <c r="O389" t="s">
        <v>54</v>
      </c>
      <c r="P389" t="s">
        <v>78</v>
      </c>
      <c r="Q389" t="s">
        <v>405</v>
      </c>
      <c r="R389" t="s">
        <v>57</v>
      </c>
      <c r="S389" t="s">
        <v>68</v>
      </c>
      <c r="V389" t="s">
        <v>59</v>
      </c>
      <c r="W389" t="s">
        <v>90</v>
      </c>
      <c r="X389" t="s">
        <v>61</v>
      </c>
      <c r="Y389" t="s">
        <v>47</v>
      </c>
      <c r="AA389" t="s">
        <v>2191</v>
      </c>
      <c r="AF389" t="s">
        <v>228</v>
      </c>
      <c r="AI389" t="s">
        <v>470</v>
      </c>
      <c r="AJ389" t="s">
        <v>68</v>
      </c>
      <c r="AK389" t="s">
        <v>82</v>
      </c>
      <c r="AL389" t="s">
        <v>70</v>
      </c>
      <c r="AM389">
        <v>29</v>
      </c>
      <c r="AN389">
        <v>2026</v>
      </c>
      <c r="AO389" t="s">
        <v>71</v>
      </c>
      <c r="AP389">
        <v>29</v>
      </c>
      <c r="AQ389" t="s">
        <v>71</v>
      </c>
    </row>
    <row r="390" spans="1:43" x14ac:dyDescent="0.25">
      <c r="A390">
        <v>389</v>
      </c>
      <c r="B390" t="s">
        <v>1073</v>
      </c>
      <c r="C390" t="s">
        <v>2192</v>
      </c>
      <c r="D390" t="s">
        <v>2193</v>
      </c>
      <c r="E390" t="s">
        <v>2194</v>
      </c>
      <c r="F390" t="s">
        <v>47</v>
      </c>
      <c r="H390" t="s">
        <v>2195</v>
      </c>
      <c r="I390" t="s">
        <v>1268</v>
      </c>
      <c r="J390" t="s">
        <v>51</v>
      </c>
      <c r="K390" s="2">
        <v>46232.485527164397</v>
      </c>
      <c r="L390" s="2">
        <v>46234.673553240696</v>
      </c>
      <c r="M390" t="s">
        <v>2196</v>
      </c>
      <c r="N390" t="s">
        <v>2197</v>
      </c>
      <c r="O390" t="s">
        <v>54</v>
      </c>
      <c r="P390" t="s">
        <v>88</v>
      </c>
      <c r="Q390" t="s">
        <v>56</v>
      </c>
      <c r="R390" t="s">
        <v>413</v>
      </c>
      <c r="S390" t="s">
        <v>58</v>
      </c>
      <c r="V390" t="s">
        <v>59</v>
      </c>
      <c r="W390" t="s">
        <v>60</v>
      </c>
      <c r="X390" t="s">
        <v>61</v>
      </c>
      <c r="Y390" t="s">
        <v>47</v>
      </c>
      <c r="Z390" t="s">
        <v>953</v>
      </c>
      <c r="AA390" t="s">
        <v>2198</v>
      </c>
      <c r="AC390" t="s">
        <v>58</v>
      </c>
      <c r="AD390" s="2">
        <v>46234</v>
      </c>
      <c r="AE390" t="s">
        <v>65</v>
      </c>
      <c r="AF390" t="s">
        <v>65</v>
      </c>
      <c r="AG390" t="s">
        <v>246</v>
      </c>
      <c r="AI390" t="s">
        <v>2199</v>
      </c>
      <c r="AJ390" t="s">
        <v>68</v>
      </c>
      <c r="AK390" t="s">
        <v>248</v>
      </c>
      <c r="AL390" t="s">
        <v>70</v>
      </c>
      <c r="AM390">
        <v>29</v>
      </c>
      <c r="AN390">
        <v>2026</v>
      </c>
      <c r="AO390" t="s">
        <v>71</v>
      </c>
      <c r="AP390">
        <v>31</v>
      </c>
      <c r="AQ390" t="s">
        <v>71</v>
      </c>
    </row>
    <row r="391" spans="1:43" x14ac:dyDescent="0.25">
      <c r="A391">
        <v>390</v>
      </c>
      <c r="B391" t="s">
        <v>1073</v>
      </c>
      <c r="C391" t="s">
        <v>2200</v>
      </c>
      <c r="D391" t="s">
        <v>2201</v>
      </c>
      <c r="E391" t="s">
        <v>2202</v>
      </c>
      <c r="F391" t="s">
        <v>47</v>
      </c>
      <c r="I391" t="s">
        <v>1534</v>
      </c>
      <c r="K391" s="2">
        <v>46232.526436145803</v>
      </c>
      <c r="L391" s="2">
        <v>46232.535392824102</v>
      </c>
      <c r="M391" t="s">
        <v>1638</v>
      </c>
      <c r="N391" t="s">
        <v>1639</v>
      </c>
      <c r="O391" t="s">
        <v>54</v>
      </c>
      <c r="P391" t="s">
        <v>55</v>
      </c>
      <c r="Q391" t="s">
        <v>161</v>
      </c>
      <c r="S391" t="s">
        <v>1282</v>
      </c>
      <c r="V391" t="s">
        <v>59</v>
      </c>
      <c r="W391" t="s">
        <v>60</v>
      </c>
      <c r="X391" t="s">
        <v>61</v>
      </c>
      <c r="Y391" t="s">
        <v>47</v>
      </c>
      <c r="AA391" t="s">
        <v>2203</v>
      </c>
      <c r="AF391" t="s">
        <v>65</v>
      </c>
      <c r="AI391" t="s">
        <v>2204</v>
      </c>
      <c r="AJ391" t="s">
        <v>68</v>
      </c>
      <c r="AK391" t="s">
        <v>1641</v>
      </c>
      <c r="AL391" t="s">
        <v>70</v>
      </c>
      <c r="AM391">
        <v>29</v>
      </c>
      <c r="AN391">
        <v>2026</v>
      </c>
      <c r="AO391" t="s">
        <v>71</v>
      </c>
      <c r="AP391">
        <v>29</v>
      </c>
      <c r="AQ391" t="s">
        <v>71</v>
      </c>
    </row>
    <row r="392" spans="1:43" x14ac:dyDescent="0.25">
      <c r="A392">
        <v>391</v>
      </c>
      <c r="B392" t="s">
        <v>1073</v>
      </c>
      <c r="C392" t="s">
        <v>2205</v>
      </c>
      <c r="D392" t="s">
        <v>2206</v>
      </c>
      <c r="E392" t="s">
        <v>2207</v>
      </c>
      <c r="F392" t="s">
        <v>47</v>
      </c>
      <c r="I392" t="s">
        <v>1534</v>
      </c>
      <c r="K392" s="2">
        <v>46232.532513391197</v>
      </c>
      <c r="L392" s="2">
        <v>46232.538239351903</v>
      </c>
      <c r="M392" t="s">
        <v>1165</v>
      </c>
      <c r="N392" t="s">
        <v>1166</v>
      </c>
      <c r="O392" t="s">
        <v>54</v>
      </c>
      <c r="P392" t="s">
        <v>88</v>
      </c>
      <c r="Q392" t="s">
        <v>56</v>
      </c>
      <c r="R392" t="s">
        <v>57</v>
      </c>
      <c r="S392" t="s">
        <v>1282</v>
      </c>
      <c r="V392" t="s">
        <v>59</v>
      </c>
      <c r="W392" t="s">
        <v>60</v>
      </c>
      <c r="X392" t="s">
        <v>61</v>
      </c>
      <c r="Y392" t="s">
        <v>47</v>
      </c>
      <c r="AA392" t="s">
        <v>2208</v>
      </c>
      <c r="AF392" t="s">
        <v>65</v>
      </c>
      <c r="AI392" t="s">
        <v>2204</v>
      </c>
      <c r="AJ392" t="s">
        <v>68</v>
      </c>
      <c r="AK392" t="s">
        <v>248</v>
      </c>
      <c r="AL392" t="s">
        <v>70</v>
      </c>
      <c r="AM392">
        <v>29</v>
      </c>
      <c r="AN392">
        <v>2026</v>
      </c>
      <c r="AO392" t="s">
        <v>71</v>
      </c>
      <c r="AP392">
        <v>29</v>
      </c>
      <c r="AQ392" t="s">
        <v>71</v>
      </c>
    </row>
    <row r="393" spans="1:43" x14ac:dyDescent="0.25">
      <c r="A393">
        <v>392</v>
      </c>
      <c r="B393" t="s">
        <v>129</v>
      </c>
      <c r="C393" t="s">
        <v>2209</v>
      </c>
      <c r="D393" t="s">
        <v>2210</v>
      </c>
      <c r="E393" t="s">
        <v>2211</v>
      </c>
      <c r="F393" t="s">
        <v>47</v>
      </c>
      <c r="I393" t="s">
        <v>133</v>
      </c>
      <c r="K393" s="2">
        <v>46232.370703784698</v>
      </c>
      <c r="L393" s="2">
        <v>46232.385525034697</v>
      </c>
      <c r="M393" t="s">
        <v>1638</v>
      </c>
      <c r="N393" t="s">
        <v>1639</v>
      </c>
      <c r="O393" t="s">
        <v>54</v>
      </c>
      <c r="P393" t="s">
        <v>160</v>
      </c>
      <c r="Q393" t="s">
        <v>56</v>
      </c>
      <c r="S393" t="s">
        <v>1282</v>
      </c>
      <c r="V393" t="s">
        <v>59</v>
      </c>
      <c r="W393" t="s">
        <v>60</v>
      </c>
      <c r="X393" t="s">
        <v>61</v>
      </c>
      <c r="Y393" t="s">
        <v>47</v>
      </c>
      <c r="AA393" t="s">
        <v>2212</v>
      </c>
      <c r="AF393" t="s">
        <v>117</v>
      </c>
      <c r="AI393" t="s">
        <v>135</v>
      </c>
      <c r="AJ393" t="s">
        <v>68</v>
      </c>
      <c r="AK393" t="s">
        <v>1641</v>
      </c>
      <c r="AL393" t="s">
        <v>70</v>
      </c>
      <c r="AM393">
        <v>29</v>
      </c>
      <c r="AN393">
        <v>2026</v>
      </c>
      <c r="AO393" t="s">
        <v>71</v>
      </c>
      <c r="AP393">
        <v>29</v>
      </c>
      <c r="AQ393" t="s">
        <v>71</v>
      </c>
    </row>
    <row r="394" spans="1:43" x14ac:dyDescent="0.25">
      <c r="A394">
        <v>393</v>
      </c>
      <c r="B394" t="s">
        <v>229</v>
      </c>
      <c r="C394" t="s">
        <v>2213</v>
      </c>
      <c r="D394" t="s">
        <v>2214</v>
      </c>
      <c r="E394" t="s">
        <v>2215</v>
      </c>
      <c r="F394" t="s">
        <v>47</v>
      </c>
      <c r="I394" t="s">
        <v>233</v>
      </c>
      <c r="K394" s="2">
        <v>46232.490764699098</v>
      </c>
      <c r="L394" s="2">
        <v>46232.506987303197</v>
      </c>
      <c r="M394" t="s">
        <v>1638</v>
      </c>
      <c r="N394" t="s">
        <v>1639</v>
      </c>
      <c r="O394" t="s">
        <v>54</v>
      </c>
      <c r="P394" t="s">
        <v>55</v>
      </c>
      <c r="Q394" t="s">
        <v>218</v>
      </c>
      <c r="S394" t="s">
        <v>1282</v>
      </c>
      <c r="V394" t="s">
        <v>59</v>
      </c>
      <c r="W394" t="s">
        <v>90</v>
      </c>
      <c r="X394" t="s">
        <v>61</v>
      </c>
      <c r="Y394" t="s">
        <v>47</v>
      </c>
      <c r="AA394" t="s">
        <v>2216</v>
      </c>
      <c r="AF394" t="s">
        <v>245</v>
      </c>
      <c r="AI394" t="s">
        <v>754</v>
      </c>
      <c r="AJ394" t="s">
        <v>68</v>
      </c>
      <c r="AK394" t="s">
        <v>1641</v>
      </c>
      <c r="AL394" t="s">
        <v>70</v>
      </c>
      <c r="AM394">
        <v>29</v>
      </c>
      <c r="AN394">
        <v>2026</v>
      </c>
      <c r="AO394" t="s">
        <v>71</v>
      </c>
      <c r="AP394">
        <v>29</v>
      </c>
      <c r="AQ394" t="s">
        <v>71</v>
      </c>
    </row>
    <row r="395" spans="1:43" x14ac:dyDescent="0.25">
      <c r="A395">
        <v>394</v>
      </c>
      <c r="B395" t="s">
        <v>249</v>
      </c>
      <c r="C395" t="s">
        <v>2217</v>
      </c>
      <c r="D395" t="s">
        <v>2218</v>
      </c>
      <c r="E395" t="s">
        <v>2219</v>
      </c>
      <c r="F395" t="s">
        <v>47</v>
      </c>
      <c r="I395" t="s">
        <v>254</v>
      </c>
      <c r="K395" s="2">
        <v>46232.483283645801</v>
      </c>
      <c r="L395" s="2">
        <v>46232.500239201399</v>
      </c>
      <c r="M395" t="s">
        <v>1638</v>
      </c>
      <c r="N395" t="s">
        <v>1639</v>
      </c>
      <c r="O395" t="s">
        <v>54</v>
      </c>
      <c r="P395" t="s">
        <v>55</v>
      </c>
      <c r="Q395" t="s">
        <v>161</v>
      </c>
      <c r="S395" t="s">
        <v>1282</v>
      </c>
      <c r="V395" t="s">
        <v>59</v>
      </c>
      <c r="W395" t="s">
        <v>90</v>
      </c>
      <c r="X395" t="s">
        <v>61</v>
      </c>
      <c r="Y395" t="s">
        <v>47</v>
      </c>
      <c r="AA395" t="s">
        <v>2220</v>
      </c>
      <c r="AF395" t="s">
        <v>92</v>
      </c>
      <c r="AI395" t="s">
        <v>1554</v>
      </c>
      <c r="AJ395" t="s">
        <v>68</v>
      </c>
      <c r="AK395" t="s">
        <v>1641</v>
      </c>
      <c r="AL395" t="s">
        <v>70</v>
      </c>
      <c r="AM395">
        <v>29</v>
      </c>
      <c r="AN395">
        <v>2026</v>
      </c>
      <c r="AO395" t="s">
        <v>71</v>
      </c>
      <c r="AP395">
        <v>29</v>
      </c>
      <c r="AQ395" t="s">
        <v>71</v>
      </c>
    </row>
    <row r="396" spans="1:43" x14ac:dyDescent="0.25">
      <c r="A396">
        <v>395</v>
      </c>
      <c r="B396" t="s">
        <v>263</v>
      </c>
      <c r="C396" t="s">
        <v>2221</v>
      </c>
      <c r="D396" t="s">
        <v>2222</v>
      </c>
      <c r="E396" t="s">
        <v>2223</v>
      </c>
      <c r="F396" t="s">
        <v>47</v>
      </c>
      <c r="I396" t="s">
        <v>267</v>
      </c>
      <c r="K396" s="2">
        <v>46232.630150463003</v>
      </c>
      <c r="L396" s="2">
        <v>46232.635845914403</v>
      </c>
      <c r="M396" t="s">
        <v>1638</v>
      </c>
      <c r="N396" t="s">
        <v>1639</v>
      </c>
      <c r="O396" t="s">
        <v>54</v>
      </c>
      <c r="P396" t="s">
        <v>88</v>
      </c>
      <c r="Q396" t="s">
        <v>113</v>
      </c>
      <c r="S396" t="s">
        <v>1282</v>
      </c>
      <c r="V396" t="s">
        <v>59</v>
      </c>
      <c r="W396" t="s">
        <v>90</v>
      </c>
      <c r="X396" t="s">
        <v>61</v>
      </c>
      <c r="Y396" t="s">
        <v>47</v>
      </c>
      <c r="AA396" t="s">
        <v>2224</v>
      </c>
      <c r="AF396" t="s">
        <v>92</v>
      </c>
      <c r="AI396" t="s">
        <v>567</v>
      </c>
      <c r="AJ396" t="s">
        <v>68</v>
      </c>
      <c r="AK396" t="s">
        <v>1641</v>
      </c>
      <c r="AL396" t="s">
        <v>70</v>
      </c>
      <c r="AM396">
        <v>29</v>
      </c>
      <c r="AN396">
        <v>2026</v>
      </c>
      <c r="AO396" t="s">
        <v>71</v>
      </c>
      <c r="AP396">
        <v>29</v>
      </c>
      <c r="AQ396" t="s">
        <v>71</v>
      </c>
    </row>
    <row r="397" spans="1:43" x14ac:dyDescent="0.25">
      <c r="A397">
        <v>396</v>
      </c>
      <c r="B397" t="s">
        <v>464</v>
      </c>
      <c r="C397" t="s">
        <v>2225</v>
      </c>
      <c r="D397" t="s">
        <v>2226</v>
      </c>
      <c r="E397" t="s">
        <v>2227</v>
      </c>
      <c r="F397" t="s">
        <v>47</v>
      </c>
      <c r="I397" t="s">
        <v>275</v>
      </c>
      <c r="K397" s="2">
        <v>46232.662690740697</v>
      </c>
      <c r="L397" s="2">
        <v>46232.670616550902</v>
      </c>
      <c r="M397" t="s">
        <v>1638</v>
      </c>
      <c r="N397" t="s">
        <v>1639</v>
      </c>
      <c r="O397" t="s">
        <v>54</v>
      </c>
      <c r="P397" t="s">
        <v>55</v>
      </c>
      <c r="Q397" t="s">
        <v>126</v>
      </c>
      <c r="S397" t="s">
        <v>1282</v>
      </c>
      <c r="V397" t="s">
        <v>59</v>
      </c>
      <c r="X397" t="s">
        <v>61</v>
      </c>
      <c r="Y397" t="s">
        <v>47</v>
      </c>
      <c r="AA397" t="s">
        <v>2228</v>
      </c>
      <c r="AF397" t="s">
        <v>469</v>
      </c>
      <c r="AI397" t="s">
        <v>470</v>
      </c>
      <c r="AJ397" t="s">
        <v>68</v>
      </c>
      <c r="AK397" t="s">
        <v>1641</v>
      </c>
      <c r="AL397" t="s">
        <v>70</v>
      </c>
      <c r="AM397">
        <v>29</v>
      </c>
      <c r="AN397">
        <v>2026</v>
      </c>
      <c r="AO397" t="s">
        <v>71</v>
      </c>
      <c r="AP397">
        <v>29</v>
      </c>
      <c r="AQ397" t="s">
        <v>71</v>
      </c>
    </row>
    <row r="398" spans="1:43" x14ac:dyDescent="0.25">
      <c r="A398">
        <v>397</v>
      </c>
      <c r="B398" t="s">
        <v>278</v>
      </c>
      <c r="C398" t="s">
        <v>2229</v>
      </c>
      <c r="D398" t="s">
        <v>2230</v>
      </c>
      <c r="E398" t="s">
        <v>2231</v>
      </c>
      <c r="F398" t="s">
        <v>47</v>
      </c>
      <c r="I398" t="s">
        <v>284</v>
      </c>
      <c r="K398" s="2">
        <v>46232.137472766197</v>
      </c>
      <c r="L398" s="2">
        <v>46232.303854895799</v>
      </c>
      <c r="M398" t="s">
        <v>1638</v>
      </c>
      <c r="N398" t="s">
        <v>1639</v>
      </c>
      <c r="O398" t="s">
        <v>54</v>
      </c>
      <c r="P398" t="s">
        <v>55</v>
      </c>
      <c r="Q398" t="s">
        <v>161</v>
      </c>
      <c r="S398" t="s">
        <v>1282</v>
      </c>
      <c r="V398" t="s">
        <v>59</v>
      </c>
      <c r="W398" t="s">
        <v>90</v>
      </c>
      <c r="X398" t="s">
        <v>61</v>
      </c>
      <c r="Y398" t="s">
        <v>47</v>
      </c>
      <c r="AA398" t="s">
        <v>2232</v>
      </c>
      <c r="AF398" t="s">
        <v>593</v>
      </c>
      <c r="AI398" t="s">
        <v>799</v>
      </c>
      <c r="AJ398" t="s">
        <v>68</v>
      </c>
      <c r="AK398" t="s">
        <v>1641</v>
      </c>
      <c r="AL398" t="s">
        <v>70</v>
      </c>
      <c r="AM398">
        <v>29</v>
      </c>
      <c r="AN398">
        <v>2026</v>
      </c>
      <c r="AO398" t="s">
        <v>71</v>
      </c>
      <c r="AP398">
        <v>29</v>
      </c>
      <c r="AQ398" t="s">
        <v>71</v>
      </c>
    </row>
    <row r="399" spans="1:43" x14ac:dyDescent="0.25">
      <c r="A399">
        <v>398</v>
      </c>
      <c r="B399" t="s">
        <v>278</v>
      </c>
      <c r="C399" t="s">
        <v>2233</v>
      </c>
      <c r="D399" t="s">
        <v>2234</v>
      </c>
      <c r="E399" t="s">
        <v>2235</v>
      </c>
      <c r="F399" t="s">
        <v>47</v>
      </c>
      <c r="I399" t="s">
        <v>284</v>
      </c>
      <c r="J399" t="s">
        <v>51</v>
      </c>
      <c r="K399" s="2">
        <v>46232.540835613399</v>
      </c>
      <c r="L399" s="2">
        <v>46232.595698067104</v>
      </c>
      <c r="M399" t="s">
        <v>1165</v>
      </c>
      <c r="N399" t="s">
        <v>1166</v>
      </c>
      <c r="O399" t="s">
        <v>54</v>
      </c>
      <c r="P399" t="s">
        <v>55</v>
      </c>
      <c r="Q399" t="s">
        <v>405</v>
      </c>
      <c r="R399" t="s">
        <v>286</v>
      </c>
      <c r="S399" t="s">
        <v>1282</v>
      </c>
      <c r="V399" t="s">
        <v>59</v>
      </c>
      <c r="W399" t="s">
        <v>90</v>
      </c>
      <c r="X399" t="s">
        <v>61</v>
      </c>
      <c r="Y399" t="s">
        <v>47</v>
      </c>
      <c r="AA399" t="s">
        <v>2236</v>
      </c>
      <c r="AF399" t="s">
        <v>1451</v>
      </c>
      <c r="AG399" t="s">
        <v>246</v>
      </c>
      <c r="AI399" t="s">
        <v>1215</v>
      </c>
      <c r="AJ399" t="s">
        <v>68</v>
      </c>
      <c r="AK399" t="s">
        <v>248</v>
      </c>
      <c r="AL399" t="s">
        <v>70</v>
      </c>
      <c r="AM399">
        <v>29</v>
      </c>
      <c r="AN399">
        <v>2026</v>
      </c>
      <c r="AO399" t="s">
        <v>71</v>
      </c>
      <c r="AP399">
        <v>29</v>
      </c>
      <c r="AQ399" t="s">
        <v>71</v>
      </c>
    </row>
    <row r="400" spans="1:43" x14ac:dyDescent="0.25">
      <c r="A400">
        <v>399</v>
      </c>
      <c r="B400" t="s">
        <v>1114</v>
      </c>
      <c r="C400" t="s">
        <v>2237</v>
      </c>
      <c r="D400" t="s">
        <v>2238</v>
      </c>
      <c r="E400" t="s">
        <v>2239</v>
      </c>
      <c r="F400" t="s">
        <v>47</v>
      </c>
      <c r="I400" t="s">
        <v>1219</v>
      </c>
      <c r="K400" s="2">
        <v>46232.434686423599</v>
      </c>
      <c r="L400" s="2">
        <v>46232.448135381899</v>
      </c>
      <c r="M400" t="s">
        <v>1638</v>
      </c>
      <c r="N400" t="s">
        <v>1639</v>
      </c>
      <c r="O400" t="s">
        <v>54</v>
      </c>
      <c r="P400" t="s">
        <v>879</v>
      </c>
      <c r="Q400" t="s">
        <v>126</v>
      </c>
      <c r="S400" t="s">
        <v>1282</v>
      </c>
      <c r="V400" t="s">
        <v>59</v>
      </c>
      <c r="W400" t="s">
        <v>90</v>
      </c>
      <c r="X400" t="s">
        <v>61</v>
      </c>
      <c r="Y400" t="s">
        <v>47</v>
      </c>
      <c r="AA400" t="s">
        <v>2240</v>
      </c>
      <c r="AF400" t="s">
        <v>1222</v>
      </c>
      <c r="AI400" t="s">
        <v>1724</v>
      </c>
      <c r="AJ400" t="s">
        <v>68</v>
      </c>
      <c r="AK400" t="s">
        <v>1641</v>
      </c>
      <c r="AL400" t="s">
        <v>70</v>
      </c>
      <c r="AM400">
        <v>29</v>
      </c>
      <c r="AN400">
        <v>2026</v>
      </c>
      <c r="AO400" t="s">
        <v>71</v>
      </c>
      <c r="AP400">
        <v>29</v>
      </c>
      <c r="AQ400" t="s">
        <v>71</v>
      </c>
    </row>
    <row r="401" spans="1:43" x14ac:dyDescent="0.25">
      <c r="A401">
        <v>400</v>
      </c>
      <c r="B401" t="s">
        <v>1114</v>
      </c>
      <c r="C401" t="s">
        <v>2241</v>
      </c>
      <c r="D401" t="s">
        <v>2242</v>
      </c>
      <c r="E401" t="s">
        <v>2243</v>
      </c>
      <c r="F401" t="s">
        <v>75</v>
      </c>
      <c r="I401" t="s">
        <v>1219</v>
      </c>
      <c r="K401" s="2">
        <v>46232.589330555602</v>
      </c>
      <c r="L401" s="2">
        <v>46232.594126388904</v>
      </c>
      <c r="M401" t="s">
        <v>1638</v>
      </c>
      <c r="N401" t="s">
        <v>1639</v>
      </c>
      <c r="O401" t="s">
        <v>54</v>
      </c>
      <c r="P401" t="s">
        <v>174</v>
      </c>
      <c r="Q401" t="s">
        <v>126</v>
      </c>
      <c r="S401" t="s">
        <v>1282</v>
      </c>
      <c r="V401" t="s">
        <v>59</v>
      </c>
      <c r="W401" t="s">
        <v>90</v>
      </c>
      <c r="X401" t="s">
        <v>61</v>
      </c>
      <c r="Y401" t="s">
        <v>75</v>
      </c>
      <c r="AA401" t="s">
        <v>2244</v>
      </c>
      <c r="AF401" t="s">
        <v>1222</v>
      </c>
      <c r="AK401" t="s">
        <v>1641</v>
      </c>
      <c r="AL401" t="s">
        <v>70</v>
      </c>
      <c r="AM401">
        <v>29</v>
      </c>
      <c r="AN401">
        <v>2026</v>
      </c>
      <c r="AO401" t="s">
        <v>71</v>
      </c>
      <c r="AP401">
        <v>29</v>
      </c>
      <c r="AQ401" t="s">
        <v>71</v>
      </c>
    </row>
    <row r="402" spans="1:43" x14ac:dyDescent="0.25">
      <c r="A402">
        <v>401</v>
      </c>
      <c r="B402" t="s">
        <v>43</v>
      </c>
      <c r="C402" t="s">
        <v>2245</v>
      </c>
      <c r="D402" t="s">
        <v>2246</v>
      </c>
      <c r="E402" t="s">
        <v>2247</v>
      </c>
      <c r="F402" t="s">
        <v>47</v>
      </c>
      <c r="I402" t="s">
        <v>50</v>
      </c>
      <c r="K402" s="2">
        <v>46233.4949934838</v>
      </c>
      <c r="L402" s="2">
        <v>46233.504193402798</v>
      </c>
      <c r="M402" t="s">
        <v>1638</v>
      </c>
      <c r="N402" t="s">
        <v>1639</v>
      </c>
      <c r="O402" t="s">
        <v>54</v>
      </c>
      <c r="P402" t="s">
        <v>78</v>
      </c>
      <c r="Q402" t="s">
        <v>185</v>
      </c>
      <c r="S402" t="s">
        <v>1282</v>
      </c>
      <c r="V402" t="s">
        <v>59</v>
      </c>
      <c r="W402" t="s">
        <v>60</v>
      </c>
      <c r="X402" t="s">
        <v>61</v>
      </c>
      <c r="Y402" t="s">
        <v>47</v>
      </c>
      <c r="AA402" t="s">
        <v>2248</v>
      </c>
      <c r="AF402" t="s">
        <v>2249</v>
      </c>
      <c r="AI402" t="s">
        <v>67</v>
      </c>
      <c r="AJ402" t="s">
        <v>68</v>
      </c>
      <c r="AK402" t="s">
        <v>1641</v>
      </c>
      <c r="AL402" t="s">
        <v>70</v>
      </c>
      <c r="AM402">
        <v>30</v>
      </c>
      <c r="AN402">
        <v>2026</v>
      </c>
      <c r="AO402" t="s">
        <v>71</v>
      </c>
      <c r="AP402">
        <v>30</v>
      </c>
      <c r="AQ402" t="s">
        <v>71</v>
      </c>
    </row>
    <row r="403" spans="1:43" x14ac:dyDescent="0.25">
      <c r="A403">
        <v>402</v>
      </c>
      <c r="B403" t="s">
        <v>1122</v>
      </c>
      <c r="C403" t="s">
        <v>2250</v>
      </c>
      <c r="D403" t="s">
        <v>2251</v>
      </c>
      <c r="E403" t="s">
        <v>2252</v>
      </c>
      <c r="F403" t="s">
        <v>75</v>
      </c>
      <c r="I403" t="s">
        <v>2253</v>
      </c>
      <c r="K403" s="2">
        <v>46233.4098395486</v>
      </c>
      <c r="L403" s="2">
        <v>46233.427890243103</v>
      </c>
      <c r="M403" t="s">
        <v>1638</v>
      </c>
      <c r="N403" t="s">
        <v>1639</v>
      </c>
      <c r="O403" t="s">
        <v>54</v>
      </c>
      <c r="P403" t="s">
        <v>88</v>
      </c>
      <c r="Q403" t="s">
        <v>161</v>
      </c>
      <c r="S403" t="s">
        <v>1282</v>
      </c>
      <c r="V403" t="s">
        <v>59</v>
      </c>
      <c r="W403" t="s">
        <v>90</v>
      </c>
      <c r="X403" t="s">
        <v>61</v>
      </c>
      <c r="Y403" t="s">
        <v>75</v>
      </c>
      <c r="AA403" t="s">
        <v>2254</v>
      </c>
      <c r="AF403" t="s">
        <v>2255</v>
      </c>
      <c r="AK403" t="s">
        <v>1641</v>
      </c>
      <c r="AL403" t="s">
        <v>70</v>
      </c>
      <c r="AM403">
        <v>30</v>
      </c>
      <c r="AN403">
        <v>2026</v>
      </c>
      <c r="AO403" t="s">
        <v>71</v>
      </c>
      <c r="AP403">
        <v>30</v>
      </c>
      <c r="AQ403" t="s">
        <v>71</v>
      </c>
    </row>
    <row r="404" spans="1:43" x14ac:dyDescent="0.25">
      <c r="A404">
        <v>403</v>
      </c>
      <c r="B404" t="s">
        <v>83</v>
      </c>
      <c r="C404" t="s">
        <v>2256</v>
      </c>
      <c r="D404" t="s">
        <v>2257</v>
      </c>
      <c r="E404" t="s">
        <v>2258</v>
      </c>
      <c r="F404" t="s">
        <v>47</v>
      </c>
      <c r="H404" t="s">
        <v>2259</v>
      </c>
      <c r="I404" t="s">
        <v>193</v>
      </c>
      <c r="J404" t="s">
        <v>295</v>
      </c>
      <c r="K404" s="2">
        <v>46233.430986921303</v>
      </c>
      <c r="L404" s="2">
        <v>46234.417620798602</v>
      </c>
      <c r="M404" t="s">
        <v>2590</v>
      </c>
      <c r="N404" t="s">
        <v>2591</v>
      </c>
      <c r="O404" t="s">
        <v>54</v>
      </c>
      <c r="P404" t="s">
        <v>55</v>
      </c>
      <c r="Q404" t="s">
        <v>175</v>
      </c>
      <c r="R404" t="s">
        <v>57</v>
      </c>
      <c r="S404" t="s">
        <v>58</v>
      </c>
      <c r="V404" t="s">
        <v>59</v>
      </c>
      <c r="W404" t="s">
        <v>90</v>
      </c>
      <c r="X404" t="s">
        <v>61</v>
      </c>
      <c r="Y404" t="s">
        <v>47</v>
      </c>
      <c r="Z404" t="s">
        <v>255</v>
      </c>
      <c r="AA404" t="s">
        <v>2260</v>
      </c>
      <c r="AC404" t="s">
        <v>58</v>
      </c>
      <c r="AD404" s="2">
        <v>46234</v>
      </c>
      <c r="AE404" t="s">
        <v>2594</v>
      </c>
      <c r="AF404" t="s">
        <v>195</v>
      </c>
      <c r="AG404" t="s">
        <v>365</v>
      </c>
      <c r="AI404" t="s">
        <v>196</v>
      </c>
      <c r="AJ404" t="s">
        <v>68</v>
      </c>
      <c r="AK404" t="s">
        <v>1514</v>
      </c>
      <c r="AL404" t="s">
        <v>70</v>
      </c>
      <c r="AM404">
        <v>30</v>
      </c>
      <c r="AN404">
        <v>2026</v>
      </c>
      <c r="AO404" t="s">
        <v>71</v>
      </c>
      <c r="AP404">
        <v>31</v>
      </c>
      <c r="AQ404" t="s">
        <v>71</v>
      </c>
    </row>
    <row r="405" spans="1:43" x14ac:dyDescent="0.25">
      <c r="A405">
        <v>404</v>
      </c>
      <c r="B405" t="s">
        <v>83</v>
      </c>
      <c r="C405" t="s">
        <v>2261</v>
      </c>
      <c r="D405" t="s">
        <v>2262</v>
      </c>
      <c r="E405" t="s">
        <v>2263</v>
      </c>
      <c r="F405" t="s">
        <v>47</v>
      </c>
      <c r="I405" t="s">
        <v>193</v>
      </c>
      <c r="K405" s="2">
        <v>46233.438154780102</v>
      </c>
      <c r="L405" s="2">
        <v>46233.448912071799</v>
      </c>
      <c r="M405" t="s">
        <v>1638</v>
      </c>
      <c r="N405" t="s">
        <v>1639</v>
      </c>
      <c r="O405" t="s">
        <v>54</v>
      </c>
      <c r="P405" t="s">
        <v>88</v>
      </c>
      <c r="Q405" t="s">
        <v>175</v>
      </c>
      <c r="S405" t="s">
        <v>1282</v>
      </c>
      <c r="V405" t="s">
        <v>59</v>
      </c>
      <c r="W405" t="s">
        <v>90</v>
      </c>
      <c r="X405" t="s">
        <v>61</v>
      </c>
      <c r="Y405" t="s">
        <v>47</v>
      </c>
      <c r="AA405" t="s">
        <v>2264</v>
      </c>
      <c r="AF405" t="s">
        <v>195</v>
      </c>
      <c r="AI405" t="s">
        <v>2265</v>
      </c>
      <c r="AJ405" t="s">
        <v>68</v>
      </c>
      <c r="AK405" t="s">
        <v>1641</v>
      </c>
      <c r="AL405" t="s">
        <v>70</v>
      </c>
      <c r="AM405">
        <v>30</v>
      </c>
      <c r="AN405">
        <v>2026</v>
      </c>
      <c r="AO405" t="s">
        <v>71</v>
      </c>
      <c r="AP405">
        <v>30</v>
      </c>
      <c r="AQ405" t="s">
        <v>71</v>
      </c>
    </row>
    <row r="406" spans="1:43" x14ac:dyDescent="0.25">
      <c r="A406">
        <v>405</v>
      </c>
      <c r="B406" t="s">
        <v>99</v>
      </c>
      <c r="C406" t="s">
        <v>2266</v>
      </c>
      <c r="D406" t="s">
        <v>2267</v>
      </c>
      <c r="E406" t="s">
        <v>2268</v>
      </c>
      <c r="F406" t="s">
        <v>47</v>
      </c>
      <c r="I406" t="s">
        <v>839</v>
      </c>
      <c r="K406" s="2">
        <v>46233.376469675903</v>
      </c>
      <c r="L406" s="2">
        <v>46233.382060497701</v>
      </c>
      <c r="M406" t="s">
        <v>1638</v>
      </c>
      <c r="N406" t="s">
        <v>1639</v>
      </c>
      <c r="O406" t="s">
        <v>54</v>
      </c>
      <c r="P406" t="s">
        <v>78</v>
      </c>
      <c r="Q406" t="s">
        <v>154</v>
      </c>
      <c r="S406" t="s">
        <v>1282</v>
      </c>
      <c r="V406" t="s">
        <v>59</v>
      </c>
      <c r="W406" t="s">
        <v>90</v>
      </c>
      <c r="X406" t="s">
        <v>61</v>
      </c>
      <c r="Y406" t="s">
        <v>47</v>
      </c>
      <c r="AA406" t="s">
        <v>2269</v>
      </c>
      <c r="AF406" t="s">
        <v>92</v>
      </c>
      <c r="AI406" t="s">
        <v>1989</v>
      </c>
      <c r="AJ406" t="s">
        <v>68</v>
      </c>
      <c r="AK406" t="s">
        <v>1641</v>
      </c>
      <c r="AL406" t="s">
        <v>70</v>
      </c>
      <c r="AM406">
        <v>30</v>
      </c>
      <c r="AN406">
        <v>2026</v>
      </c>
      <c r="AO406" t="s">
        <v>71</v>
      </c>
      <c r="AP406">
        <v>30</v>
      </c>
      <c r="AQ406" t="s">
        <v>71</v>
      </c>
    </row>
    <row r="407" spans="1:43" x14ac:dyDescent="0.25">
      <c r="A407">
        <v>406</v>
      </c>
      <c r="B407" t="s">
        <v>2270</v>
      </c>
      <c r="C407" t="s">
        <v>2271</v>
      </c>
      <c r="D407" t="s">
        <v>2272</v>
      </c>
      <c r="E407" t="s">
        <v>2273</v>
      </c>
      <c r="F407" t="s">
        <v>47</v>
      </c>
      <c r="I407" t="s">
        <v>2274</v>
      </c>
      <c r="J407" t="s">
        <v>51</v>
      </c>
      <c r="K407" s="2">
        <v>46233.624410613404</v>
      </c>
      <c r="L407" s="2">
        <v>46233.628523645799</v>
      </c>
      <c r="M407" t="s">
        <v>1165</v>
      </c>
      <c r="N407" t="s">
        <v>1166</v>
      </c>
      <c r="O407" t="s">
        <v>54</v>
      </c>
      <c r="P407" t="s">
        <v>160</v>
      </c>
      <c r="Q407" t="s">
        <v>113</v>
      </c>
      <c r="R407" t="s">
        <v>57</v>
      </c>
      <c r="S407" t="s">
        <v>1282</v>
      </c>
      <c r="V407" t="s">
        <v>59</v>
      </c>
      <c r="W407" t="s">
        <v>90</v>
      </c>
      <c r="X407" t="s">
        <v>61</v>
      </c>
      <c r="Y407" t="s">
        <v>47</v>
      </c>
      <c r="AA407" t="s">
        <v>2275</v>
      </c>
      <c r="AF407" t="s">
        <v>2276</v>
      </c>
      <c r="AG407" t="s">
        <v>246</v>
      </c>
      <c r="AI407" t="s">
        <v>2277</v>
      </c>
      <c r="AJ407" t="s">
        <v>68</v>
      </c>
      <c r="AK407" t="s">
        <v>248</v>
      </c>
      <c r="AL407" t="s">
        <v>70</v>
      </c>
      <c r="AM407">
        <v>30</v>
      </c>
      <c r="AN407">
        <v>2026</v>
      </c>
      <c r="AO407" t="s">
        <v>71</v>
      </c>
      <c r="AP407">
        <v>30</v>
      </c>
      <c r="AQ407" t="s">
        <v>71</v>
      </c>
    </row>
    <row r="408" spans="1:43" x14ac:dyDescent="0.25">
      <c r="A408">
        <v>407</v>
      </c>
      <c r="B408" t="s">
        <v>213</v>
      </c>
      <c r="C408" t="s">
        <v>2278</v>
      </c>
      <c r="D408" t="s">
        <v>2279</v>
      </c>
      <c r="E408" t="s">
        <v>2280</v>
      </c>
      <c r="F408" t="s">
        <v>47</v>
      </c>
      <c r="I408" t="s">
        <v>217</v>
      </c>
      <c r="K408" s="2">
        <v>46233.4074580671</v>
      </c>
      <c r="L408" s="2">
        <v>46233.427869560197</v>
      </c>
      <c r="M408" t="s">
        <v>1638</v>
      </c>
      <c r="N408" t="s">
        <v>1639</v>
      </c>
      <c r="O408" t="s">
        <v>54</v>
      </c>
      <c r="P408" t="s">
        <v>55</v>
      </c>
      <c r="Q408" t="s">
        <v>89</v>
      </c>
      <c r="S408" t="s">
        <v>1282</v>
      </c>
      <c r="V408" t="s">
        <v>59</v>
      </c>
      <c r="W408" t="s">
        <v>90</v>
      </c>
      <c r="X408" t="s">
        <v>61</v>
      </c>
      <c r="Y408" t="s">
        <v>47</v>
      </c>
      <c r="AA408" t="s">
        <v>2281</v>
      </c>
      <c r="AF408" t="s">
        <v>2282</v>
      </c>
      <c r="AI408" t="s">
        <v>739</v>
      </c>
      <c r="AJ408" t="s">
        <v>68</v>
      </c>
      <c r="AK408" t="s">
        <v>1641</v>
      </c>
      <c r="AL408" t="s">
        <v>70</v>
      </c>
      <c r="AM408">
        <v>30</v>
      </c>
      <c r="AN408">
        <v>2026</v>
      </c>
      <c r="AO408" t="s">
        <v>71</v>
      </c>
      <c r="AP408">
        <v>30</v>
      </c>
      <c r="AQ408" t="s">
        <v>71</v>
      </c>
    </row>
    <row r="409" spans="1:43" x14ac:dyDescent="0.25">
      <c r="A409">
        <v>408</v>
      </c>
      <c r="B409" t="s">
        <v>213</v>
      </c>
      <c r="C409" t="s">
        <v>2283</v>
      </c>
      <c r="D409" t="s">
        <v>2284</v>
      </c>
      <c r="E409" t="s">
        <v>2285</v>
      </c>
      <c r="F409" t="s">
        <v>47</v>
      </c>
      <c r="I409" t="s">
        <v>217</v>
      </c>
      <c r="K409" s="2">
        <v>46233.7135061343</v>
      </c>
      <c r="L409" s="2">
        <v>46233.719192627301</v>
      </c>
      <c r="M409" t="s">
        <v>1165</v>
      </c>
      <c r="N409" t="s">
        <v>1166</v>
      </c>
      <c r="O409" t="s">
        <v>54</v>
      </c>
      <c r="P409" t="s">
        <v>88</v>
      </c>
      <c r="Q409" t="s">
        <v>89</v>
      </c>
      <c r="R409" t="s">
        <v>57</v>
      </c>
      <c r="S409" t="s">
        <v>1282</v>
      </c>
      <c r="V409" t="s">
        <v>59</v>
      </c>
      <c r="W409" t="s">
        <v>90</v>
      </c>
      <c r="X409" t="s">
        <v>61</v>
      </c>
      <c r="Y409" t="s">
        <v>47</v>
      </c>
      <c r="AA409" t="s">
        <v>2286</v>
      </c>
      <c r="AF409" t="s">
        <v>2287</v>
      </c>
      <c r="AI409" t="s">
        <v>739</v>
      </c>
      <c r="AJ409" t="s">
        <v>68</v>
      </c>
      <c r="AK409" t="s">
        <v>248</v>
      </c>
      <c r="AL409" t="s">
        <v>70</v>
      </c>
      <c r="AM409">
        <v>30</v>
      </c>
      <c r="AN409">
        <v>2026</v>
      </c>
      <c r="AO409" t="s">
        <v>71</v>
      </c>
      <c r="AP409">
        <v>30</v>
      </c>
      <c r="AQ409" t="s">
        <v>71</v>
      </c>
    </row>
    <row r="410" spans="1:43" x14ac:dyDescent="0.25">
      <c r="A410">
        <v>409</v>
      </c>
      <c r="B410" t="s">
        <v>1073</v>
      </c>
      <c r="C410" t="s">
        <v>2288</v>
      </c>
      <c r="D410" t="s">
        <v>2289</v>
      </c>
      <c r="E410" t="s">
        <v>2290</v>
      </c>
      <c r="F410" t="s">
        <v>47</v>
      </c>
      <c r="I410" t="s">
        <v>1268</v>
      </c>
      <c r="K410" s="2">
        <v>46233.416559837999</v>
      </c>
      <c r="L410" s="2">
        <v>46233.434864965297</v>
      </c>
      <c r="M410" t="s">
        <v>1433</v>
      </c>
      <c r="N410" t="s">
        <v>1434</v>
      </c>
      <c r="O410" t="s">
        <v>54</v>
      </c>
      <c r="P410" t="s">
        <v>55</v>
      </c>
      <c r="Q410" t="s">
        <v>113</v>
      </c>
      <c r="R410" t="s">
        <v>57</v>
      </c>
      <c r="S410" t="s">
        <v>1282</v>
      </c>
      <c r="V410" t="s">
        <v>59</v>
      </c>
      <c r="W410" t="s">
        <v>60</v>
      </c>
      <c r="X410" t="s">
        <v>61</v>
      </c>
      <c r="Y410" t="s">
        <v>47</v>
      </c>
      <c r="AA410" t="s">
        <v>2291</v>
      </c>
      <c r="AF410" t="s">
        <v>65</v>
      </c>
      <c r="AI410" t="s">
        <v>1915</v>
      </c>
      <c r="AJ410" t="s">
        <v>68</v>
      </c>
      <c r="AK410" t="s">
        <v>248</v>
      </c>
      <c r="AL410" t="s">
        <v>70</v>
      </c>
      <c r="AM410">
        <v>30</v>
      </c>
      <c r="AN410">
        <v>2026</v>
      </c>
      <c r="AO410" t="s">
        <v>71</v>
      </c>
      <c r="AP410">
        <v>30</v>
      </c>
      <c r="AQ410" t="s">
        <v>71</v>
      </c>
    </row>
    <row r="411" spans="1:43" x14ac:dyDescent="0.25">
      <c r="A411">
        <v>410</v>
      </c>
      <c r="B411" t="s">
        <v>229</v>
      </c>
      <c r="C411" t="s">
        <v>2292</v>
      </c>
      <c r="D411" t="s">
        <v>2293</v>
      </c>
      <c r="E411" t="s">
        <v>2294</v>
      </c>
      <c r="F411" t="s">
        <v>47</v>
      </c>
      <c r="I411" t="s">
        <v>233</v>
      </c>
      <c r="K411" s="2">
        <v>46233.409885567104</v>
      </c>
      <c r="L411" s="2">
        <v>46233.427875381902</v>
      </c>
      <c r="M411" t="s">
        <v>1638</v>
      </c>
      <c r="N411" t="s">
        <v>1639</v>
      </c>
      <c r="O411" t="s">
        <v>54</v>
      </c>
      <c r="P411" t="s">
        <v>55</v>
      </c>
      <c r="Q411" t="s">
        <v>296</v>
      </c>
      <c r="S411" t="s">
        <v>1282</v>
      </c>
      <c r="V411" t="s">
        <v>59</v>
      </c>
      <c r="W411" t="s">
        <v>90</v>
      </c>
      <c r="X411" t="s">
        <v>61</v>
      </c>
      <c r="Y411" t="s">
        <v>47</v>
      </c>
      <c r="AA411" t="s">
        <v>2295</v>
      </c>
      <c r="AF411" t="s">
        <v>245</v>
      </c>
      <c r="AI411" t="s">
        <v>443</v>
      </c>
      <c r="AJ411" t="s">
        <v>68</v>
      </c>
      <c r="AK411" t="s">
        <v>1641</v>
      </c>
      <c r="AL411" t="s">
        <v>70</v>
      </c>
      <c r="AM411">
        <v>30</v>
      </c>
      <c r="AN411">
        <v>2026</v>
      </c>
      <c r="AO411" t="s">
        <v>71</v>
      </c>
      <c r="AP411">
        <v>30</v>
      </c>
      <c r="AQ411" t="s">
        <v>71</v>
      </c>
    </row>
    <row r="412" spans="1:43" x14ac:dyDescent="0.25">
      <c r="A412">
        <v>411</v>
      </c>
      <c r="B412" t="s">
        <v>263</v>
      </c>
      <c r="C412" t="s">
        <v>2296</v>
      </c>
      <c r="D412" t="s">
        <v>2297</v>
      </c>
      <c r="E412" t="s">
        <v>2298</v>
      </c>
      <c r="F412" t="s">
        <v>47</v>
      </c>
      <c r="I412" t="s">
        <v>267</v>
      </c>
      <c r="J412" t="s">
        <v>51</v>
      </c>
      <c r="K412" s="2">
        <v>46233.470992824099</v>
      </c>
      <c r="L412" s="2">
        <v>46233.623007256901</v>
      </c>
      <c r="M412" t="s">
        <v>1165</v>
      </c>
      <c r="N412" t="s">
        <v>1166</v>
      </c>
      <c r="O412" t="s">
        <v>54</v>
      </c>
      <c r="P412" t="s">
        <v>88</v>
      </c>
      <c r="Q412" t="s">
        <v>113</v>
      </c>
      <c r="R412" t="s">
        <v>1106</v>
      </c>
      <c r="S412" t="s">
        <v>2595</v>
      </c>
      <c r="V412" t="s">
        <v>59</v>
      </c>
      <c r="W412" t="s">
        <v>90</v>
      </c>
      <c r="X412" t="s">
        <v>61</v>
      </c>
      <c r="Y412" t="s">
        <v>47</v>
      </c>
      <c r="AA412" t="s">
        <v>2299</v>
      </c>
      <c r="AC412" t="s">
        <v>58</v>
      </c>
      <c r="AD412" s="2">
        <v>46235</v>
      </c>
      <c r="AF412" t="s">
        <v>92</v>
      </c>
      <c r="AG412" t="s">
        <v>246</v>
      </c>
      <c r="AI412" t="s">
        <v>567</v>
      </c>
      <c r="AJ412" t="s">
        <v>68</v>
      </c>
      <c r="AK412" t="s">
        <v>248</v>
      </c>
      <c r="AL412" t="s">
        <v>70</v>
      </c>
      <c r="AM412">
        <v>30</v>
      </c>
      <c r="AN412">
        <v>2026</v>
      </c>
      <c r="AO412" t="s">
        <v>71</v>
      </c>
      <c r="AP412">
        <v>30</v>
      </c>
      <c r="AQ412" t="s">
        <v>71</v>
      </c>
    </row>
    <row r="413" spans="1:43" x14ac:dyDescent="0.25">
      <c r="A413">
        <v>412</v>
      </c>
      <c r="B413" t="s">
        <v>263</v>
      </c>
      <c r="C413" t="s">
        <v>2300</v>
      </c>
      <c r="D413" t="s">
        <v>2301</v>
      </c>
      <c r="E413" t="s">
        <v>2302</v>
      </c>
      <c r="F413" t="s">
        <v>47</v>
      </c>
      <c r="I413" t="s">
        <v>267</v>
      </c>
      <c r="K413" s="2">
        <v>46233.619144942102</v>
      </c>
      <c r="L413" s="2">
        <v>46233.628523263898</v>
      </c>
      <c r="M413" t="s">
        <v>1638</v>
      </c>
      <c r="N413" t="s">
        <v>1639</v>
      </c>
      <c r="O413" t="s">
        <v>54</v>
      </c>
      <c r="P413" t="s">
        <v>174</v>
      </c>
      <c r="Q413" t="s">
        <v>56</v>
      </c>
      <c r="S413" t="s">
        <v>1282</v>
      </c>
      <c r="V413" t="s">
        <v>59</v>
      </c>
      <c r="W413" t="s">
        <v>90</v>
      </c>
      <c r="X413" t="s">
        <v>61</v>
      </c>
      <c r="Y413" t="s">
        <v>47</v>
      </c>
      <c r="AA413" t="s">
        <v>2303</v>
      </c>
      <c r="AF413" t="s">
        <v>92</v>
      </c>
      <c r="AI413" t="s">
        <v>2304</v>
      </c>
      <c r="AJ413" t="s">
        <v>68</v>
      </c>
      <c r="AK413" t="s">
        <v>1641</v>
      </c>
      <c r="AL413" t="s">
        <v>70</v>
      </c>
      <c r="AM413">
        <v>30</v>
      </c>
      <c r="AN413">
        <v>2026</v>
      </c>
      <c r="AO413" t="s">
        <v>71</v>
      </c>
      <c r="AP413">
        <v>30</v>
      </c>
      <c r="AQ413" t="s">
        <v>71</v>
      </c>
    </row>
    <row r="414" spans="1:43" x14ac:dyDescent="0.25">
      <c r="A414">
        <v>413</v>
      </c>
      <c r="B414" t="s">
        <v>400</v>
      </c>
      <c r="C414" t="s">
        <v>2305</v>
      </c>
      <c r="D414" t="s">
        <v>2306</v>
      </c>
      <c r="E414" t="s">
        <v>2307</v>
      </c>
      <c r="F414" t="s">
        <v>75</v>
      </c>
      <c r="I414" t="s">
        <v>404</v>
      </c>
      <c r="K414" s="2">
        <v>46233.597563159703</v>
      </c>
      <c r="L414" s="2">
        <v>46233.607717824103</v>
      </c>
      <c r="M414" t="s">
        <v>1638</v>
      </c>
      <c r="N414" t="s">
        <v>1639</v>
      </c>
      <c r="O414" t="s">
        <v>54</v>
      </c>
      <c r="P414" t="s">
        <v>78</v>
      </c>
      <c r="Q414" t="s">
        <v>405</v>
      </c>
      <c r="S414" t="s">
        <v>1282</v>
      </c>
      <c r="V414" t="s">
        <v>59</v>
      </c>
      <c r="W414" t="s">
        <v>90</v>
      </c>
      <c r="X414" t="s">
        <v>61</v>
      </c>
      <c r="Y414" t="s">
        <v>75</v>
      </c>
      <c r="AA414" t="s">
        <v>2308</v>
      </c>
      <c r="AF414" t="s">
        <v>2309</v>
      </c>
      <c r="AK414" t="s">
        <v>1641</v>
      </c>
      <c r="AL414" t="s">
        <v>70</v>
      </c>
      <c r="AM414">
        <v>30</v>
      </c>
      <c r="AN414">
        <v>2026</v>
      </c>
      <c r="AO414" t="s">
        <v>71</v>
      </c>
      <c r="AP414">
        <v>30</v>
      </c>
      <c r="AQ414" t="s">
        <v>71</v>
      </c>
    </row>
    <row r="415" spans="1:43" x14ac:dyDescent="0.25">
      <c r="A415">
        <v>414</v>
      </c>
      <c r="B415" t="s">
        <v>43</v>
      </c>
      <c r="C415" t="s">
        <v>2310</v>
      </c>
      <c r="D415" t="s">
        <v>2311</v>
      </c>
      <c r="E415" t="s">
        <v>2312</v>
      </c>
      <c r="F415" t="s">
        <v>47</v>
      </c>
      <c r="I415" t="s">
        <v>50</v>
      </c>
      <c r="K415" s="2">
        <v>46234.653531794</v>
      </c>
      <c r="L415" s="2">
        <v>46234.663598842599</v>
      </c>
      <c r="M415" t="s">
        <v>1638</v>
      </c>
      <c r="N415" t="s">
        <v>1639</v>
      </c>
      <c r="O415" t="s">
        <v>54</v>
      </c>
      <c r="P415" t="s">
        <v>88</v>
      </c>
      <c r="Q415" t="s">
        <v>154</v>
      </c>
      <c r="S415" t="s">
        <v>1282</v>
      </c>
      <c r="V415" t="s">
        <v>59</v>
      </c>
      <c r="W415" t="s">
        <v>60</v>
      </c>
      <c r="X415" t="s">
        <v>61</v>
      </c>
      <c r="Y415" t="s">
        <v>47</v>
      </c>
      <c r="AA415" t="s">
        <v>2313</v>
      </c>
      <c r="AF415" t="s">
        <v>2314</v>
      </c>
      <c r="AI415" t="s">
        <v>686</v>
      </c>
      <c r="AJ415" t="s">
        <v>68</v>
      </c>
      <c r="AK415" t="s">
        <v>1641</v>
      </c>
      <c r="AL415" t="s">
        <v>70</v>
      </c>
      <c r="AM415">
        <v>31</v>
      </c>
      <c r="AN415">
        <v>2026</v>
      </c>
      <c r="AO415" t="s">
        <v>71</v>
      </c>
      <c r="AP415">
        <v>31</v>
      </c>
      <c r="AQ415" t="s">
        <v>71</v>
      </c>
    </row>
    <row r="416" spans="1:43" x14ac:dyDescent="0.25">
      <c r="A416">
        <v>415</v>
      </c>
      <c r="B416" t="s">
        <v>43</v>
      </c>
      <c r="C416" t="s">
        <v>2315</v>
      </c>
      <c r="D416" t="s">
        <v>2316</v>
      </c>
      <c r="E416" t="s">
        <v>2317</v>
      </c>
      <c r="F416" t="s">
        <v>47</v>
      </c>
      <c r="I416" t="s">
        <v>50</v>
      </c>
      <c r="J416" t="s">
        <v>51</v>
      </c>
      <c r="K416" s="2">
        <v>46234.656656446801</v>
      </c>
      <c r="L416" s="2">
        <v>46234.677269560198</v>
      </c>
      <c r="M416" t="s">
        <v>1165</v>
      </c>
      <c r="N416" t="s">
        <v>1166</v>
      </c>
      <c r="O416" t="s">
        <v>54</v>
      </c>
      <c r="P416" t="s">
        <v>55</v>
      </c>
      <c r="Q416" t="s">
        <v>56</v>
      </c>
      <c r="R416" t="s">
        <v>57</v>
      </c>
      <c r="S416" t="s">
        <v>1282</v>
      </c>
      <c r="V416" t="s">
        <v>59</v>
      </c>
      <c r="W416" t="s">
        <v>60</v>
      </c>
      <c r="X416" t="s">
        <v>61</v>
      </c>
      <c r="Y416" t="s">
        <v>47</v>
      </c>
      <c r="AA416" t="s">
        <v>2318</v>
      </c>
      <c r="AF416" t="s">
        <v>65</v>
      </c>
      <c r="AG416" t="s">
        <v>246</v>
      </c>
      <c r="AI416" t="s">
        <v>686</v>
      </c>
      <c r="AJ416" t="s">
        <v>68</v>
      </c>
      <c r="AK416" t="s">
        <v>248</v>
      </c>
      <c r="AL416" t="s">
        <v>70</v>
      </c>
      <c r="AM416">
        <v>31</v>
      </c>
      <c r="AN416">
        <v>2026</v>
      </c>
      <c r="AO416" t="s">
        <v>71</v>
      </c>
      <c r="AP416">
        <v>31</v>
      </c>
      <c r="AQ416" t="s">
        <v>71</v>
      </c>
    </row>
    <row r="417" spans="1:43" x14ac:dyDescent="0.25">
      <c r="A417">
        <v>416</v>
      </c>
      <c r="B417" t="s">
        <v>1122</v>
      </c>
      <c r="C417" t="s">
        <v>2596</v>
      </c>
      <c r="D417" t="s">
        <v>2597</v>
      </c>
      <c r="E417" t="s">
        <v>2598</v>
      </c>
      <c r="F417" t="s">
        <v>47</v>
      </c>
      <c r="I417" t="s">
        <v>2253</v>
      </c>
      <c r="K417" s="2">
        <v>46234.864079247702</v>
      </c>
      <c r="L417" s="2">
        <v>46234.868139317099</v>
      </c>
      <c r="M417" t="s">
        <v>1433</v>
      </c>
      <c r="N417" t="s">
        <v>1434</v>
      </c>
      <c r="O417" t="s">
        <v>54</v>
      </c>
      <c r="P417" t="s">
        <v>55</v>
      </c>
      <c r="Q417" t="s">
        <v>175</v>
      </c>
      <c r="R417" t="s">
        <v>57</v>
      </c>
      <c r="S417" t="s">
        <v>1282</v>
      </c>
      <c r="V417" t="s">
        <v>59</v>
      </c>
      <c r="W417" t="s">
        <v>90</v>
      </c>
      <c r="X417" t="s">
        <v>61</v>
      </c>
      <c r="Y417" t="s">
        <v>47</v>
      </c>
      <c r="AA417" t="s">
        <v>2599</v>
      </c>
      <c r="AF417" t="s">
        <v>2600</v>
      </c>
      <c r="AI417" t="s">
        <v>2601</v>
      </c>
      <c r="AJ417" t="s">
        <v>68</v>
      </c>
      <c r="AK417" t="s">
        <v>248</v>
      </c>
      <c r="AL417" t="s">
        <v>70</v>
      </c>
      <c r="AM417">
        <v>31</v>
      </c>
      <c r="AN417">
        <v>2026</v>
      </c>
      <c r="AO417" t="s">
        <v>71</v>
      </c>
      <c r="AP417">
        <v>31</v>
      </c>
      <c r="AQ417" t="s">
        <v>71</v>
      </c>
    </row>
    <row r="418" spans="1:43" x14ac:dyDescent="0.25">
      <c r="A418">
        <v>417</v>
      </c>
      <c r="B418" t="s">
        <v>829</v>
      </c>
      <c r="C418" t="s">
        <v>2319</v>
      </c>
      <c r="D418" t="s">
        <v>2320</v>
      </c>
      <c r="E418" t="s">
        <v>2321</v>
      </c>
      <c r="F418" t="s">
        <v>47</v>
      </c>
      <c r="I418" t="s">
        <v>2322</v>
      </c>
      <c r="K418" s="2">
        <v>46234.600617210701</v>
      </c>
      <c r="L418" s="2">
        <v>46234.6116603357</v>
      </c>
      <c r="M418" t="s">
        <v>1638</v>
      </c>
      <c r="N418" t="s">
        <v>1639</v>
      </c>
      <c r="O418" t="s">
        <v>54</v>
      </c>
      <c r="P418" t="s">
        <v>78</v>
      </c>
      <c r="Q418" t="s">
        <v>89</v>
      </c>
      <c r="S418" t="s">
        <v>1282</v>
      </c>
      <c r="V418" t="s">
        <v>59</v>
      </c>
      <c r="W418" t="s">
        <v>90</v>
      </c>
      <c r="X418" t="s">
        <v>61</v>
      </c>
      <c r="Y418" t="s">
        <v>47</v>
      </c>
      <c r="AA418" t="s">
        <v>2323</v>
      </c>
      <c r="AF418" t="s">
        <v>92</v>
      </c>
      <c r="AI418" t="s">
        <v>2324</v>
      </c>
      <c r="AJ418" t="s">
        <v>68</v>
      </c>
      <c r="AK418" t="s">
        <v>1641</v>
      </c>
      <c r="AL418" t="s">
        <v>70</v>
      </c>
      <c r="AM418">
        <v>31</v>
      </c>
      <c r="AN418">
        <v>2026</v>
      </c>
      <c r="AO418" t="s">
        <v>71</v>
      </c>
      <c r="AP418">
        <v>31</v>
      </c>
      <c r="AQ418" t="s">
        <v>71</v>
      </c>
    </row>
    <row r="419" spans="1:43" x14ac:dyDescent="0.25">
      <c r="A419">
        <v>418</v>
      </c>
      <c r="B419" t="s">
        <v>106</v>
      </c>
      <c r="C419" t="s">
        <v>2325</v>
      </c>
      <c r="D419" t="s">
        <v>2326</v>
      </c>
      <c r="E419" t="s">
        <v>2327</v>
      </c>
      <c r="F419" t="s">
        <v>47</v>
      </c>
      <c r="I419" t="s">
        <v>112</v>
      </c>
      <c r="K419" s="2">
        <v>46234.3150046644</v>
      </c>
      <c r="L419" s="2">
        <v>46234.319605902798</v>
      </c>
      <c r="M419" t="s">
        <v>1638</v>
      </c>
      <c r="N419" t="s">
        <v>1639</v>
      </c>
      <c r="O419" t="s">
        <v>54</v>
      </c>
      <c r="P419" t="s">
        <v>55</v>
      </c>
      <c r="Q419" t="s">
        <v>175</v>
      </c>
      <c r="S419" t="s">
        <v>1282</v>
      </c>
      <c r="V419" t="s">
        <v>59</v>
      </c>
      <c r="W419" t="s">
        <v>60</v>
      </c>
      <c r="X419" t="s">
        <v>61</v>
      </c>
      <c r="Y419" t="s">
        <v>47</v>
      </c>
      <c r="AA419" t="s">
        <v>2328</v>
      </c>
      <c r="AF419" t="s">
        <v>117</v>
      </c>
      <c r="AI419" t="s">
        <v>851</v>
      </c>
      <c r="AJ419" t="s">
        <v>68</v>
      </c>
      <c r="AK419" t="s">
        <v>1641</v>
      </c>
      <c r="AL419" t="s">
        <v>70</v>
      </c>
      <c r="AM419">
        <v>31</v>
      </c>
      <c r="AN419">
        <v>2026</v>
      </c>
      <c r="AO419" t="s">
        <v>71</v>
      </c>
      <c r="AP419">
        <v>31</v>
      </c>
      <c r="AQ419" t="s">
        <v>71</v>
      </c>
    </row>
    <row r="420" spans="1:43" x14ac:dyDescent="0.25">
      <c r="A420">
        <v>419</v>
      </c>
      <c r="B420" t="s">
        <v>106</v>
      </c>
      <c r="C420" t="s">
        <v>2329</v>
      </c>
      <c r="D420" t="s">
        <v>2330</v>
      </c>
      <c r="E420" t="s">
        <v>2331</v>
      </c>
      <c r="F420" t="s">
        <v>47</v>
      </c>
      <c r="I420" t="s">
        <v>112</v>
      </c>
      <c r="K420" s="2">
        <v>46234.447909143499</v>
      </c>
      <c r="L420" s="2">
        <v>46234.465805208303</v>
      </c>
      <c r="M420" t="s">
        <v>1638</v>
      </c>
      <c r="N420" t="s">
        <v>1639</v>
      </c>
      <c r="O420" t="s">
        <v>54</v>
      </c>
      <c r="P420" t="s">
        <v>174</v>
      </c>
      <c r="Q420" t="s">
        <v>154</v>
      </c>
      <c r="S420" t="s">
        <v>1282</v>
      </c>
      <c r="V420" t="s">
        <v>59</v>
      </c>
      <c r="W420" t="s">
        <v>60</v>
      </c>
      <c r="X420" t="s">
        <v>61</v>
      </c>
      <c r="Y420" t="s">
        <v>47</v>
      </c>
      <c r="AA420" t="s">
        <v>2332</v>
      </c>
      <c r="AF420" t="s">
        <v>117</v>
      </c>
      <c r="AI420" t="s">
        <v>475</v>
      </c>
      <c r="AJ420" t="s">
        <v>68</v>
      </c>
      <c r="AK420" t="s">
        <v>1641</v>
      </c>
      <c r="AL420" t="s">
        <v>70</v>
      </c>
      <c r="AM420">
        <v>31</v>
      </c>
      <c r="AN420">
        <v>2026</v>
      </c>
      <c r="AO420" t="s">
        <v>71</v>
      </c>
      <c r="AP420">
        <v>31</v>
      </c>
      <c r="AQ420" t="s">
        <v>71</v>
      </c>
    </row>
    <row r="421" spans="1:43" x14ac:dyDescent="0.25">
      <c r="A421">
        <v>420</v>
      </c>
      <c r="B421" t="s">
        <v>106</v>
      </c>
      <c r="C421" t="s">
        <v>2333</v>
      </c>
      <c r="D421" t="s">
        <v>2334</v>
      </c>
      <c r="E421" t="s">
        <v>2335</v>
      </c>
      <c r="F421" t="s">
        <v>47</v>
      </c>
      <c r="I421" t="s">
        <v>112</v>
      </c>
      <c r="K421" s="2">
        <v>46234.466822141199</v>
      </c>
      <c r="L421" s="2">
        <v>46234.479345405103</v>
      </c>
      <c r="M421" t="s">
        <v>1638</v>
      </c>
      <c r="N421" t="s">
        <v>1639</v>
      </c>
      <c r="O421" t="s">
        <v>54</v>
      </c>
      <c r="P421" t="s">
        <v>55</v>
      </c>
      <c r="Q421" t="s">
        <v>161</v>
      </c>
      <c r="S421" t="s">
        <v>1282</v>
      </c>
      <c r="V421" t="s">
        <v>59</v>
      </c>
      <c r="W421" t="s">
        <v>60</v>
      </c>
      <c r="X421" t="s">
        <v>61</v>
      </c>
      <c r="Y421" t="s">
        <v>47</v>
      </c>
      <c r="AA421" t="s">
        <v>2336</v>
      </c>
      <c r="AF421" t="s">
        <v>117</v>
      </c>
      <c r="AI421" t="s">
        <v>2337</v>
      </c>
      <c r="AJ421" t="s">
        <v>68</v>
      </c>
      <c r="AK421" t="s">
        <v>1641</v>
      </c>
      <c r="AL421" t="s">
        <v>70</v>
      </c>
      <c r="AM421">
        <v>31</v>
      </c>
      <c r="AN421">
        <v>2026</v>
      </c>
      <c r="AO421" t="s">
        <v>71</v>
      </c>
      <c r="AP421">
        <v>31</v>
      </c>
      <c r="AQ421" t="s">
        <v>71</v>
      </c>
    </row>
    <row r="422" spans="1:43" x14ac:dyDescent="0.25">
      <c r="A422">
        <v>421</v>
      </c>
      <c r="B422" t="s">
        <v>106</v>
      </c>
      <c r="C422" t="s">
        <v>2338</v>
      </c>
      <c r="D422" t="s">
        <v>2339</v>
      </c>
      <c r="E422" t="s">
        <v>2340</v>
      </c>
      <c r="F422" t="s">
        <v>47</v>
      </c>
      <c r="I422" t="s">
        <v>112</v>
      </c>
      <c r="K422" s="2">
        <v>46234.5133081366</v>
      </c>
      <c r="L422" s="2">
        <v>46234.517410648201</v>
      </c>
      <c r="M422" t="s">
        <v>1638</v>
      </c>
      <c r="N422" t="s">
        <v>1639</v>
      </c>
      <c r="O422" t="s">
        <v>54</v>
      </c>
      <c r="P422" t="s">
        <v>55</v>
      </c>
      <c r="Q422" t="s">
        <v>161</v>
      </c>
      <c r="S422" t="s">
        <v>1282</v>
      </c>
      <c r="V422" t="s">
        <v>59</v>
      </c>
      <c r="W422" t="s">
        <v>60</v>
      </c>
      <c r="X422" t="s">
        <v>61</v>
      </c>
      <c r="Y422" t="s">
        <v>47</v>
      </c>
      <c r="AA422" t="s">
        <v>2341</v>
      </c>
      <c r="AF422" t="s">
        <v>117</v>
      </c>
      <c r="AI422" t="s">
        <v>212</v>
      </c>
      <c r="AJ422" t="s">
        <v>68</v>
      </c>
      <c r="AK422" t="s">
        <v>1641</v>
      </c>
      <c r="AL422" t="s">
        <v>70</v>
      </c>
      <c r="AM422">
        <v>31</v>
      </c>
      <c r="AN422">
        <v>2026</v>
      </c>
      <c r="AO422" t="s">
        <v>71</v>
      </c>
      <c r="AP422">
        <v>31</v>
      </c>
      <c r="AQ422" t="s">
        <v>71</v>
      </c>
    </row>
    <row r="423" spans="1:43" x14ac:dyDescent="0.25">
      <c r="A423">
        <v>422</v>
      </c>
      <c r="B423" t="s">
        <v>106</v>
      </c>
      <c r="C423" t="s">
        <v>2342</v>
      </c>
      <c r="D423" t="s">
        <v>2343</v>
      </c>
      <c r="E423" t="s">
        <v>2344</v>
      </c>
      <c r="F423" t="s">
        <v>47</v>
      </c>
      <c r="I423" t="s">
        <v>112</v>
      </c>
      <c r="K423" s="2">
        <v>46234.5156251968</v>
      </c>
      <c r="L423" s="2">
        <v>46234.520906909704</v>
      </c>
      <c r="M423" t="s">
        <v>1638</v>
      </c>
      <c r="N423" t="s">
        <v>1639</v>
      </c>
      <c r="O423" t="s">
        <v>54</v>
      </c>
      <c r="P423" t="s">
        <v>55</v>
      </c>
      <c r="Q423" t="s">
        <v>1501</v>
      </c>
      <c r="S423" t="s">
        <v>1282</v>
      </c>
      <c r="V423" t="s">
        <v>59</v>
      </c>
      <c r="W423" t="s">
        <v>60</v>
      </c>
      <c r="X423" t="s">
        <v>61</v>
      </c>
      <c r="Y423" t="s">
        <v>47</v>
      </c>
      <c r="AA423" t="s">
        <v>2345</v>
      </c>
      <c r="AF423" t="s">
        <v>117</v>
      </c>
      <c r="AI423" t="s">
        <v>475</v>
      </c>
      <c r="AJ423" t="s">
        <v>68</v>
      </c>
      <c r="AK423" t="s">
        <v>1641</v>
      </c>
      <c r="AL423" t="s">
        <v>70</v>
      </c>
      <c r="AM423">
        <v>31</v>
      </c>
      <c r="AN423">
        <v>2026</v>
      </c>
      <c r="AO423" t="s">
        <v>71</v>
      </c>
      <c r="AP423">
        <v>31</v>
      </c>
      <c r="AQ423" t="s">
        <v>71</v>
      </c>
    </row>
    <row r="424" spans="1:43" x14ac:dyDescent="0.25">
      <c r="A424">
        <v>423</v>
      </c>
      <c r="B424" t="s">
        <v>106</v>
      </c>
      <c r="C424" t="s">
        <v>2346</v>
      </c>
      <c r="D424" t="s">
        <v>2347</v>
      </c>
      <c r="E424" t="s">
        <v>2348</v>
      </c>
      <c r="F424" t="s">
        <v>47</v>
      </c>
      <c r="I424" t="s">
        <v>112</v>
      </c>
      <c r="K424" s="2">
        <v>46234.5550393866</v>
      </c>
      <c r="L424" s="2">
        <v>46234.559598148102</v>
      </c>
      <c r="M424" t="s">
        <v>1638</v>
      </c>
      <c r="N424" t="s">
        <v>1639</v>
      </c>
      <c r="O424" t="s">
        <v>54</v>
      </c>
      <c r="P424" t="s">
        <v>174</v>
      </c>
      <c r="Q424" t="s">
        <v>161</v>
      </c>
      <c r="S424" t="s">
        <v>1282</v>
      </c>
      <c r="V424" t="s">
        <v>59</v>
      </c>
      <c r="W424" t="s">
        <v>60</v>
      </c>
      <c r="X424" t="s">
        <v>61</v>
      </c>
      <c r="Y424" t="s">
        <v>47</v>
      </c>
      <c r="AA424" t="s">
        <v>2349</v>
      </c>
      <c r="AF424" t="s">
        <v>117</v>
      </c>
      <c r="AI424" t="s">
        <v>2350</v>
      </c>
      <c r="AJ424" t="s">
        <v>68</v>
      </c>
      <c r="AK424" t="s">
        <v>1641</v>
      </c>
      <c r="AL424" t="s">
        <v>70</v>
      </c>
      <c r="AM424">
        <v>31</v>
      </c>
      <c r="AN424">
        <v>2026</v>
      </c>
      <c r="AO424" t="s">
        <v>71</v>
      </c>
      <c r="AP424">
        <v>31</v>
      </c>
      <c r="AQ424" t="s">
        <v>71</v>
      </c>
    </row>
    <row r="425" spans="1:43" x14ac:dyDescent="0.25">
      <c r="A425">
        <v>424</v>
      </c>
      <c r="B425" t="s">
        <v>106</v>
      </c>
      <c r="C425" t="s">
        <v>2351</v>
      </c>
      <c r="D425" t="s">
        <v>2352</v>
      </c>
      <c r="E425" t="s">
        <v>2353</v>
      </c>
      <c r="F425" t="s">
        <v>47</v>
      </c>
      <c r="I425" t="s">
        <v>112</v>
      </c>
      <c r="K425" s="2">
        <v>46234.664145682902</v>
      </c>
      <c r="L425" s="2">
        <v>46234.670525659698</v>
      </c>
      <c r="M425" t="s">
        <v>1638</v>
      </c>
      <c r="N425" t="s">
        <v>1639</v>
      </c>
      <c r="O425" t="s">
        <v>54</v>
      </c>
      <c r="P425" t="s">
        <v>88</v>
      </c>
      <c r="Q425" t="s">
        <v>113</v>
      </c>
      <c r="S425" t="s">
        <v>1282</v>
      </c>
      <c r="V425" t="s">
        <v>59</v>
      </c>
      <c r="W425" t="s">
        <v>60</v>
      </c>
      <c r="X425" t="s">
        <v>61</v>
      </c>
      <c r="Y425" t="s">
        <v>47</v>
      </c>
      <c r="AA425" t="s">
        <v>2354</v>
      </c>
      <c r="AF425" t="s">
        <v>117</v>
      </c>
      <c r="AI425" t="s">
        <v>344</v>
      </c>
      <c r="AJ425" t="s">
        <v>68</v>
      </c>
      <c r="AK425" t="s">
        <v>1641</v>
      </c>
      <c r="AL425" t="s">
        <v>70</v>
      </c>
      <c r="AM425">
        <v>31</v>
      </c>
      <c r="AN425">
        <v>2026</v>
      </c>
      <c r="AO425" t="s">
        <v>71</v>
      </c>
      <c r="AP425">
        <v>31</v>
      </c>
      <c r="AQ425" t="s">
        <v>71</v>
      </c>
    </row>
    <row r="426" spans="1:43" x14ac:dyDescent="0.25">
      <c r="A426">
        <v>425</v>
      </c>
      <c r="B426" t="s">
        <v>106</v>
      </c>
      <c r="C426" t="s">
        <v>2355</v>
      </c>
      <c r="D426" t="s">
        <v>2356</v>
      </c>
      <c r="E426" t="s">
        <v>2357</v>
      </c>
      <c r="F426" t="s">
        <v>47</v>
      </c>
      <c r="I426" t="s">
        <v>112</v>
      </c>
      <c r="K426" s="2">
        <v>46234.666349074098</v>
      </c>
      <c r="L426" s="2">
        <v>46234.677297303198</v>
      </c>
      <c r="M426" t="s">
        <v>1638</v>
      </c>
      <c r="N426" t="s">
        <v>1639</v>
      </c>
      <c r="O426" t="s">
        <v>54</v>
      </c>
      <c r="P426" t="s">
        <v>174</v>
      </c>
      <c r="Q426" t="s">
        <v>113</v>
      </c>
      <c r="S426" t="s">
        <v>1282</v>
      </c>
      <c r="V426" t="s">
        <v>59</v>
      </c>
      <c r="W426" t="s">
        <v>60</v>
      </c>
      <c r="X426" t="s">
        <v>61</v>
      </c>
      <c r="Y426" t="s">
        <v>47</v>
      </c>
      <c r="AA426" t="s">
        <v>2358</v>
      </c>
      <c r="AF426" t="s">
        <v>117</v>
      </c>
      <c r="AI426" t="s">
        <v>344</v>
      </c>
      <c r="AJ426" t="s">
        <v>68</v>
      </c>
      <c r="AK426" t="s">
        <v>1641</v>
      </c>
      <c r="AL426" t="s">
        <v>70</v>
      </c>
      <c r="AM426">
        <v>31</v>
      </c>
      <c r="AN426">
        <v>2026</v>
      </c>
      <c r="AO426" t="s">
        <v>71</v>
      </c>
      <c r="AP426">
        <v>31</v>
      </c>
      <c r="AQ426" t="s">
        <v>71</v>
      </c>
    </row>
    <row r="427" spans="1:43" x14ac:dyDescent="0.25">
      <c r="A427">
        <v>426</v>
      </c>
      <c r="B427" t="s">
        <v>345</v>
      </c>
      <c r="C427" t="s">
        <v>2359</v>
      </c>
      <c r="D427" t="s">
        <v>2360</v>
      </c>
      <c r="E427" t="s">
        <v>2361</v>
      </c>
      <c r="F427" t="s">
        <v>47</v>
      </c>
      <c r="I427" t="s">
        <v>351</v>
      </c>
      <c r="K427" s="2">
        <v>46234.601436689802</v>
      </c>
      <c r="L427" s="2">
        <v>46235.442724537003</v>
      </c>
      <c r="M427" t="s">
        <v>1165</v>
      </c>
      <c r="N427" t="s">
        <v>1166</v>
      </c>
      <c r="O427" t="s">
        <v>54</v>
      </c>
      <c r="P427" t="s">
        <v>55</v>
      </c>
      <c r="Q427" t="s">
        <v>89</v>
      </c>
      <c r="R427" t="s">
        <v>632</v>
      </c>
      <c r="S427" t="s">
        <v>1282</v>
      </c>
      <c r="V427" t="s">
        <v>59</v>
      </c>
      <c r="W427" t="s">
        <v>90</v>
      </c>
      <c r="X427" t="s">
        <v>61</v>
      </c>
      <c r="Y427" t="s">
        <v>47</v>
      </c>
      <c r="AA427" t="s">
        <v>2362</v>
      </c>
      <c r="AF427" t="s">
        <v>65</v>
      </c>
      <c r="AI427" t="s">
        <v>1264</v>
      </c>
      <c r="AJ427" t="s">
        <v>68</v>
      </c>
      <c r="AK427" t="s">
        <v>248</v>
      </c>
      <c r="AL427" t="s">
        <v>70</v>
      </c>
      <c r="AM427">
        <v>31</v>
      </c>
      <c r="AN427">
        <v>2026</v>
      </c>
      <c r="AO427" t="s">
        <v>71</v>
      </c>
      <c r="AP427">
        <v>1</v>
      </c>
      <c r="AQ427" t="s">
        <v>2589</v>
      </c>
    </row>
    <row r="428" spans="1:43" x14ac:dyDescent="0.25">
      <c r="A428">
        <v>427</v>
      </c>
      <c r="B428" t="s">
        <v>1073</v>
      </c>
      <c r="C428" t="s">
        <v>2363</v>
      </c>
      <c r="D428" t="s">
        <v>2364</v>
      </c>
      <c r="E428" t="s">
        <v>2365</v>
      </c>
      <c r="F428" t="s">
        <v>47</v>
      </c>
      <c r="I428" t="s">
        <v>1268</v>
      </c>
      <c r="K428" s="2">
        <v>46234.538002696798</v>
      </c>
      <c r="L428" s="2">
        <v>46234.548657372703</v>
      </c>
      <c r="M428" t="s">
        <v>1638</v>
      </c>
      <c r="N428" t="s">
        <v>1639</v>
      </c>
      <c r="O428" t="s">
        <v>54</v>
      </c>
      <c r="P428" t="s">
        <v>55</v>
      </c>
      <c r="Q428" t="s">
        <v>1501</v>
      </c>
      <c r="S428" t="s">
        <v>1282</v>
      </c>
      <c r="V428" t="s">
        <v>59</v>
      </c>
      <c r="W428" t="s">
        <v>60</v>
      </c>
      <c r="X428" t="s">
        <v>61</v>
      </c>
      <c r="Y428" t="s">
        <v>47</v>
      </c>
      <c r="AA428" t="s">
        <v>2366</v>
      </c>
      <c r="AF428" t="s">
        <v>65</v>
      </c>
      <c r="AI428" t="s">
        <v>1345</v>
      </c>
      <c r="AJ428" t="s">
        <v>68</v>
      </c>
      <c r="AK428" t="s">
        <v>1641</v>
      </c>
      <c r="AL428" t="s">
        <v>70</v>
      </c>
      <c r="AM428">
        <v>31</v>
      </c>
      <c r="AN428">
        <v>2026</v>
      </c>
      <c r="AO428" t="s">
        <v>71</v>
      </c>
      <c r="AP428">
        <v>31</v>
      </c>
      <c r="AQ428" t="s">
        <v>71</v>
      </c>
    </row>
    <row r="429" spans="1:43" x14ac:dyDescent="0.25">
      <c r="A429">
        <v>428</v>
      </c>
      <c r="B429" t="s">
        <v>1073</v>
      </c>
      <c r="C429" t="s">
        <v>2367</v>
      </c>
      <c r="D429" t="s">
        <v>2368</v>
      </c>
      <c r="E429" t="s">
        <v>2369</v>
      </c>
      <c r="F429" t="s">
        <v>47</v>
      </c>
      <c r="I429" t="s">
        <v>1268</v>
      </c>
      <c r="K429" s="2">
        <v>46234.542886192103</v>
      </c>
      <c r="L429" s="2">
        <v>46234.552733796299</v>
      </c>
      <c r="M429" t="s">
        <v>1638</v>
      </c>
      <c r="N429" t="s">
        <v>1639</v>
      </c>
      <c r="O429" t="s">
        <v>54</v>
      </c>
      <c r="P429" t="s">
        <v>78</v>
      </c>
      <c r="Q429" t="s">
        <v>113</v>
      </c>
      <c r="S429" t="s">
        <v>1282</v>
      </c>
      <c r="V429" t="s">
        <v>59</v>
      </c>
      <c r="W429" t="s">
        <v>60</v>
      </c>
      <c r="X429" t="s">
        <v>61</v>
      </c>
      <c r="Y429" t="s">
        <v>47</v>
      </c>
      <c r="AA429" t="s">
        <v>2370</v>
      </c>
      <c r="AF429" t="s">
        <v>65</v>
      </c>
      <c r="AI429" t="s">
        <v>1421</v>
      </c>
      <c r="AJ429" t="s">
        <v>68</v>
      </c>
      <c r="AK429" t="s">
        <v>1641</v>
      </c>
      <c r="AL429" t="s">
        <v>70</v>
      </c>
      <c r="AM429">
        <v>31</v>
      </c>
      <c r="AN429">
        <v>2026</v>
      </c>
      <c r="AO429" t="s">
        <v>71</v>
      </c>
      <c r="AP429">
        <v>31</v>
      </c>
      <c r="AQ429" t="s">
        <v>71</v>
      </c>
    </row>
    <row r="430" spans="1:43" x14ac:dyDescent="0.25">
      <c r="A430">
        <v>429</v>
      </c>
      <c r="B430" t="s">
        <v>1073</v>
      </c>
      <c r="C430" t="s">
        <v>2371</v>
      </c>
      <c r="D430" t="s">
        <v>2372</v>
      </c>
      <c r="E430" t="s">
        <v>2373</v>
      </c>
      <c r="F430" t="s">
        <v>47</v>
      </c>
      <c r="I430" t="s">
        <v>1268</v>
      </c>
      <c r="K430" s="2">
        <v>46234.624958449102</v>
      </c>
      <c r="L430" s="2">
        <v>46234.635557326401</v>
      </c>
      <c r="M430" t="s">
        <v>1165</v>
      </c>
      <c r="N430" t="s">
        <v>1166</v>
      </c>
      <c r="O430" t="s">
        <v>54</v>
      </c>
      <c r="P430" t="s">
        <v>88</v>
      </c>
      <c r="Q430" t="s">
        <v>113</v>
      </c>
      <c r="R430" t="s">
        <v>57</v>
      </c>
      <c r="S430" t="s">
        <v>1282</v>
      </c>
      <c r="V430" t="s">
        <v>59</v>
      </c>
      <c r="W430" t="s">
        <v>60</v>
      </c>
      <c r="X430" t="s">
        <v>61</v>
      </c>
      <c r="Y430" t="s">
        <v>47</v>
      </c>
      <c r="AA430" t="s">
        <v>2374</v>
      </c>
      <c r="AF430" t="s">
        <v>65</v>
      </c>
      <c r="AI430" t="s">
        <v>1270</v>
      </c>
      <c r="AJ430" t="s">
        <v>68</v>
      </c>
      <c r="AK430" t="s">
        <v>248</v>
      </c>
      <c r="AL430" t="s">
        <v>70</v>
      </c>
      <c r="AM430">
        <v>31</v>
      </c>
      <c r="AN430">
        <v>2026</v>
      </c>
      <c r="AO430" t="s">
        <v>71</v>
      </c>
      <c r="AP430">
        <v>31</v>
      </c>
      <c r="AQ430" t="s">
        <v>71</v>
      </c>
    </row>
    <row r="431" spans="1:43" x14ac:dyDescent="0.25">
      <c r="A431">
        <v>430</v>
      </c>
      <c r="B431" t="s">
        <v>1073</v>
      </c>
      <c r="C431" t="s">
        <v>2375</v>
      </c>
      <c r="D431" t="s">
        <v>2376</v>
      </c>
      <c r="E431" t="s">
        <v>2377</v>
      </c>
      <c r="F431" t="s">
        <v>47</v>
      </c>
      <c r="I431" t="s">
        <v>1268</v>
      </c>
      <c r="K431" s="2">
        <v>46234.631479895797</v>
      </c>
      <c r="L431" s="2">
        <v>46234.639465312503</v>
      </c>
      <c r="M431" t="s">
        <v>1638</v>
      </c>
      <c r="N431" t="s">
        <v>1639</v>
      </c>
      <c r="O431" t="s">
        <v>54</v>
      </c>
      <c r="P431" t="s">
        <v>78</v>
      </c>
      <c r="Q431" t="s">
        <v>571</v>
      </c>
      <c r="S431" t="s">
        <v>1282</v>
      </c>
      <c r="V431" t="s">
        <v>59</v>
      </c>
      <c r="W431" t="s">
        <v>60</v>
      </c>
      <c r="X431" t="s">
        <v>61</v>
      </c>
      <c r="Y431" t="s">
        <v>47</v>
      </c>
      <c r="AA431" t="s">
        <v>2378</v>
      </c>
      <c r="AF431" t="s">
        <v>65</v>
      </c>
      <c r="AI431" t="s">
        <v>1270</v>
      </c>
      <c r="AJ431" t="s">
        <v>68</v>
      </c>
      <c r="AK431" t="s">
        <v>1641</v>
      </c>
      <c r="AL431" t="s">
        <v>70</v>
      </c>
      <c r="AM431">
        <v>31</v>
      </c>
      <c r="AN431">
        <v>2026</v>
      </c>
      <c r="AO431" t="s">
        <v>71</v>
      </c>
      <c r="AP431">
        <v>31</v>
      </c>
      <c r="AQ431" t="s">
        <v>71</v>
      </c>
    </row>
    <row r="432" spans="1:43" x14ac:dyDescent="0.25">
      <c r="A432">
        <v>431</v>
      </c>
      <c r="B432" t="s">
        <v>1073</v>
      </c>
      <c r="C432" t="s">
        <v>2379</v>
      </c>
      <c r="D432" t="s">
        <v>2380</v>
      </c>
      <c r="E432" t="s">
        <v>2381</v>
      </c>
      <c r="F432" t="s">
        <v>47</v>
      </c>
      <c r="I432" t="s">
        <v>1268</v>
      </c>
      <c r="K432" s="2">
        <v>46234.643550428198</v>
      </c>
      <c r="L432" s="2">
        <v>46234.652822453703</v>
      </c>
      <c r="M432" t="s">
        <v>1165</v>
      </c>
      <c r="N432" t="s">
        <v>1166</v>
      </c>
      <c r="O432" t="s">
        <v>54</v>
      </c>
      <c r="P432" t="s">
        <v>88</v>
      </c>
      <c r="Q432" t="s">
        <v>161</v>
      </c>
      <c r="R432" t="s">
        <v>57</v>
      </c>
      <c r="S432" t="s">
        <v>1282</v>
      </c>
      <c r="V432" t="s">
        <v>59</v>
      </c>
      <c r="W432" t="s">
        <v>60</v>
      </c>
      <c r="X432" t="s">
        <v>61</v>
      </c>
      <c r="Y432" t="s">
        <v>47</v>
      </c>
      <c r="AA432" t="s">
        <v>2382</v>
      </c>
      <c r="AF432" t="s">
        <v>65</v>
      </c>
      <c r="AI432" t="s">
        <v>1270</v>
      </c>
      <c r="AJ432" t="s">
        <v>68</v>
      </c>
      <c r="AK432" t="s">
        <v>248</v>
      </c>
      <c r="AL432" t="s">
        <v>70</v>
      </c>
      <c r="AM432">
        <v>31</v>
      </c>
      <c r="AN432">
        <v>2026</v>
      </c>
      <c r="AO432" t="s">
        <v>71</v>
      </c>
      <c r="AP432">
        <v>31</v>
      </c>
      <c r="AQ432" t="s">
        <v>71</v>
      </c>
    </row>
    <row r="433" spans="1:43" x14ac:dyDescent="0.25">
      <c r="A433">
        <v>432</v>
      </c>
      <c r="B433" t="s">
        <v>129</v>
      </c>
      <c r="C433" t="s">
        <v>2383</v>
      </c>
      <c r="D433" t="s">
        <v>2384</v>
      </c>
      <c r="E433" t="s">
        <v>2385</v>
      </c>
      <c r="F433" t="s">
        <v>47</v>
      </c>
      <c r="I433" t="s">
        <v>133</v>
      </c>
      <c r="K433" s="2">
        <v>46234.458108877297</v>
      </c>
      <c r="L433" s="2">
        <v>46234.472762963</v>
      </c>
      <c r="M433" t="s">
        <v>1433</v>
      </c>
      <c r="N433" t="s">
        <v>1434</v>
      </c>
      <c r="O433" t="s">
        <v>54</v>
      </c>
      <c r="P433" t="s">
        <v>160</v>
      </c>
      <c r="Q433" t="s">
        <v>56</v>
      </c>
      <c r="R433" t="s">
        <v>57</v>
      </c>
      <c r="S433" t="s">
        <v>1282</v>
      </c>
      <c r="V433" t="s">
        <v>59</v>
      </c>
      <c r="W433" t="s">
        <v>60</v>
      </c>
      <c r="X433" t="s">
        <v>61</v>
      </c>
      <c r="Y433" t="s">
        <v>47</v>
      </c>
      <c r="AA433" t="s">
        <v>2386</v>
      </c>
      <c r="AF433" t="s">
        <v>117</v>
      </c>
      <c r="AI433" t="s">
        <v>135</v>
      </c>
      <c r="AJ433" t="s">
        <v>68</v>
      </c>
      <c r="AK433" t="s">
        <v>248</v>
      </c>
      <c r="AL433" t="s">
        <v>70</v>
      </c>
      <c r="AM433">
        <v>31</v>
      </c>
      <c r="AN433">
        <v>2026</v>
      </c>
      <c r="AO433" t="s">
        <v>71</v>
      </c>
      <c r="AP433">
        <v>31</v>
      </c>
      <c r="AQ433" t="s">
        <v>71</v>
      </c>
    </row>
    <row r="434" spans="1:43" x14ac:dyDescent="0.25">
      <c r="A434">
        <v>433</v>
      </c>
      <c r="B434" t="s">
        <v>129</v>
      </c>
      <c r="C434" t="s">
        <v>2387</v>
      </c>
      <c r="D434" t="s">
        <v>2388</v>
      </c>
      <c r="E434" t="s">
        <v>2389</v>
      </c>
      <c r="F434" t="s">
        <v>47</v>
      </c>
      <c r="I434" t="s">
        <v>133</v>
      </c>
      <c r="K434" s="2">
        <v>46234.574094675903</v>
      </c>
      <c r="L434" s="2">
        <v>46234.587077349497</v>
      </c>
      <c r="M434" t="s">
        <v>1638</v>
      </c>
      <c r="N434" t="s">
        <v>1639</v>
      </c>
      <c r="O434" t="s">
        <v>54</v>
      </c>
      <c r="P434" t="s">
        <v>174</v>
      </c>
      <c r="Q434" t="s">
        <v>405</v>
      </c>
      <c r="S434" t="s">
        <v>1282</v>
      </c>
      <c r="V434" t="s">
        <v>59</v>
      </c>
      <c r="W434" t="s">
        <v>60</v>
      </c>
      <c r="X434" t="s">
        <v>61</v>
      </c>
      <c r="Y434" t="s">
        <v>47</v>
      </c>
      <c r="AA434" t="s">
        <v>2390</v>
      </c>
      <c r="AF434" t="s">
        <v>117</v>
      </c>
      <c r="AI434" t="s">
        <v>1284</v>
      </c>
      <c r="AJ434" t="s">
        <v>68</v>
      </c>
      <c r="AK434" t="s">
        <v>1641</v>
      </c>
      <c r="AL434" t="s">
        <v>70</v>
      </c>
      <c r="AM434">
        <v>31</v>
      </c>
      <c r="AN434">
        <v>2026</v>
      </c>
      <c r="AO434" t="s">
        <v>71</v>
      </c>
      <c r="AP434">
        <v>31</v>
      </c>
      <c r="AQ434" t="s">
        <v>71</v>
      </c>
    </row>
    <row r="435" spans="1:43" x14ac:dyDescent="0.25">
      <c r="A435">
        <v>434</v>
      </c>
      <c r="B435" t="s">
        <v>129</v>
      </c>
      <c r="C435" t="s">
        <v>2391</v>
      </c>
      <c r="D435" t="s">
        <v>2392</v>
      </c>
      <c r="E435" t="s">
        <v>2393</v>
      </c>
      <c r="F435" t="s">
        <v>47</v>
      </c>
      <c r="I435" t="s">
        <v>133</v>
      </c>
      <c r="K435" s="2">
        <v>46234.576751655099</v>
      </c>
      <c r="L435" s="2">
        <v>46234.586925115698</v>
      </c>
      <c r="M435" t="s">
        <v>2394</v>
      </c>
      <c r="N435" t="s">
        <v>2395</v>
      </c>
      <c r="O435" t="s">
        <v>54</v>
      </c>
      <c r="P435" t="s">
        <v>55</v>
      </c>
      <c r="Q435" t="s">
        <v>56</v>
      </c>
      <c r="S435" t="s">
        <v>1282</v>
      </c>
      <c r="V435" t="s">
        <v>59</v>
      </c>
      <c r="W435" t="s">
        <v>60</v>
      </c>
      <c r="X435" t="s">
        <v>61</v>
      </c>
      <c r="Y435" t="s">
        <v>47</v>
      </c>
      <c r="AA435" t="s">
        <v>2396</v>
      </c>
      <c r="AF435" t="s">
        <v>117</v>
      </c>
      <c r="AI435" t="s">
        <v>2397</v>
      </c>
      <c r="AJ435" t="s">
        <v>68</v>
      </c>
      <c r="AK435" t="s">
        <v>248</v>
      </c>
      <c r="AL435" t="s">
        <v>70</v>
      </c>
      <c r="AM435">
        <v>31</v>
      </c>
      <c r="AN435">
        <v>2026</v>
      </c>
      <c r="AO435" t="s">
        <v>71</v>
      </c>
      <c r="AP435">
        <v>31</v>
      </c>
      <c r="AQ435" t="s">
        <v>71</v>
      </c>
    </row>
    <row r="436" spans="1:43" x14ac:dyDescent="0.25">
      <c r="A436">
        <v>435</v>
      </c>
      <c r="B436" t="s">
        <v>129</v>
      </c>
      <c r="C436" t="s">
        <v>2398</v>
      </c>
      <c r="D436" t="s">
        <v>2399</v>
      </c>
      <c r="E436" t="s">
        <v>2400</v>
      </c>
      <c r="F436" t="s">
        <v>47</v>
      </c>
      <c r="I436" t="s">
        <v>133</v>
      </c>
      <c r="K436" s="2">
        <v>46234.578383645799</v>
      </c>
      <c r="L436" s="2">
        <v>46234.594262963001</v>
      </c>
      <c r="M436" t="s">
        <v>1433</v>
      </c>
      <c r="N436" t="s">
        <v>1434</v>
      </c>
      <c r="O436" t="s">
        <v>54</v>
      </c>
      <c r="P436" t="s">
        <v>1010</v>
      </c>
      <c r="Q436" t="s">
        <v>405</v>
      </c>
      <c r="R436" t="s">
        <v>57</v>
      </c>
      <c r="S436" t="s">
        <v>1282</v>
      </c>
      <c r="V436" t="s">
        <v>59</v>
      </c>
      <c r="W436" t="s">
        <v>60</v>
      </c>
      <c r="X436" t="s">
        <v>61</v>
      </c>
      <c r="Y436" t="s">
        <v>47</v>
      </c>
      <c r="AA436" t="s">
        <v>2401</v>
      </c>
      <c r="AF436" t="s">
        <v>117</v>
      </c>
      <c r="AI436" t="s">
        <v>1284</v>
      </c>
      <c r="AJ436" t="s">
        <v>68</v>
      </c>
      <c r="AK436" t="s">
        <v>248</v>
      </c>
      <c r="AL436" t="s">
        <v>70</v>
      </c>
      <c r="AM436">
        <v>31</v>
      </c>
      <c r="AN436">
        <v>2026</v>
      </c>
      <c r="AO436" t="s">
        <v>71</v>
      </c>
      <c r="AP436">
        <v>31</v>
      </c>
      <c r="AQ436" t="s">
        <v>71</v>
      </c>
    </row>
    <row r="437" spans="1:43" x14ac:dyDescent="0.25">
      <c r="A437">
        <v>436</v>
      </c>
      <c r="B437" t="s">
        <v>129</v>
      </c>
      <c r="C437" t="s">
        <v>2402</v>
      </c>
      <c r="D437" t="s">
        <v>2403</v>
      </c>
      <c r="E437" t="s">
        <v>2404</v>
      </c>
      <c r="F437" t="s">
        <v>47</v>
      </c>
      <c r="I437" t="s">
        <v>133</v>
      </c>
      <c r="K437" s="2">
        <v>46234.6460794792</v>
      </c>
      <c r="L437" s="2">
        <v>46234.659915393502</v>
      </c>
      <c r="M437" t="s">
        <v>1638</v>
      </c>
      <c r="N437" t="s">
        <v>1639</v>
      </c>
      <c r="O437" t="s">
        <v>54</v>
      </c>
      <c r="P437" t="s">
        <v>55</v>
      </c>
      <c r="Q437" t="s">
        <v>56</v>
      </c>
      <c r="S437" t="s">
        <v>1282</v>
      </c>
      <c r="V437" t="s">
        <v>59</v>
      </c>
      <c r="W437" t="s">
        <v>60</v>
      </c>
      <c r="X437" t="s">
        <v>61</v>
      </c>
      <c r="Y437" t="s">
        <v>47</v>
      </c>
      <c r="AA437" t="s">
        <v>2405</v>
      </c>
      <c r="AF437" t="s">
        <v>117</v>
      </c>
      <c r="AI437" t="s">
        <v>1284</v>
      </c>
      <c r="AJ437" t="s">
        <v>68</v>
      </c>
      <c r="AK437" t="s">
        <v>1641</v>
      </c>
      <c r="AL437" t="s">
        <v>70</v>
      </c>
      <c r="AM437">
        <v>31</v>
      </c>
      <c r="AN437">
        <v>2026</v>
      </c>
      <c r="AO437" t="s">
        <v>71</v>
      </c>
      <c r="AP437">
        <v>31</v>
      </c>
      <c r="AQ437" t="s">
        <v>71</v>
      </c>
    </row>
    <row r="438" spans="1:43" x14ac:dyDescent="0.25">
      <c r="A438">
        <v>437</v>
      </c>
      <c r="B438" t="s">
        <v>129</v>
      </c>
      <c r="C438" t="s">
        <v>2406</v>
      </c>
      <c r="D438" t="s">
        <v>2407</v>
      </c>
      <c r="E438" t="s">
        <v>2408</v>
      </c>
      <c r="F438" t="s">
        <v>47</v>
      </c>
      <c r="I438" t="s">
        <v>133</v>
      </c>
      <c r="K438" s="2">
        <v>46234.648292627302</v>
      </c>
      <c r="L438" s="2">
        <v>46234.652822604199</v>
      </c>
      <c r="M438" t="s">
        <v>1433</v>
      </c>
      <c r="N438" t="s">
        <v>1434</v>
      </c>
      <c r="O438" t="s">
        <v>54</v>
      </c>
      <c r="P438" t="s">
        <v>174</v>
      </c>
      <c r="Q438" t="s">
        <v>405</v>
      </c>
      <c r="R438" t="s">
        <v>57</v>
      </c>
      <c r="S438" t="s">
        <v>1282</v>
      </c>
      <c r="V438" t="s">
        <v>59</v>
      </c>
      <c r="W438" t="s">
        <v>60</v>
      </c>
      <c r="X438" t="s">
        <v>61</v>
      </c>
      <c r="Y438" t="s">
        <v>47</v>
      </c>
      <c r="AA438" t="s">
        <v>2409</v>
      </c>
      <c r="AF438" t="s">
        <v>117</v>
      </c>
      <c r="AI438" t="s">
        <v>2410</v>
      </c>
      <c r="AJ438" t="s">
        <v>68</v>
      </c>
      <c r="AK438" t="s">
        <v>248</v>
      </c>
      <c r="AL438" t="s">
        <v>70</v>
      </c>
      <c r="AM438">
        <v>31</v>
      </c>
      <c r="AN438">
        <v>2026</v>
      </c>
      <c r="AO438" t="s">
        <v>71</v>
      </c>
      <c r="AP438">
        <v>31</v>
      </c>
      <c r="AQ438" t="s">
        <v>71</v>
      </c>
    </row>
    <row r="439" spans="1:43" x14ac:dyDescent="0.25">
      <c r="A439">
        <v>438</v>
      </c>
      <c r="B439" t="s">
        <v>129</v>
      </c>
      <c r="C439" t="s">
        <v>2411</v>
      </c>
      <c r="D439" t="s">
        <v>2412</v>
      </c>
      <c r="E439" t="s">
        <v>2413</v>
      </c>
      <c r="F439" t="s">
        <v>47</v>
      </c>
      <c r="I439" t="s">
        <v>133</v>
      </c>
      <c r="K439" s="2">
        <v>46234.649880474499</v>
      </c>
      <c r="L439" s="2">
        <v>46234.659915625001</v>
      </c>
      <c r="M439" t="s">
        <v>1638</v>
      </c>
      <c r="N439" t="s">
        <v>1639</v>
      </c>
      <c r="O439" t="s">
        <v>54</v>
      </c>
      <c r="P439" t="s">
        <v>55</v>
      </c>
      <c r="Q439" t="s">
        <v>56</v>
      </c>
      <c r="S439" t="s">
        <v>1282</v>
      </c>
      <c r="V439" t="s">
        <v>59</v>
      </c>
      <c r="W439" t="s">
        <v>60</v>
      </c>
      <c r="X439" t="s">
        <v>61</v>
      </c>
      <c r="Y439" t="s">
        <v>47</v>
      </c>
      <c r="AA439" t="s">
        <v>2414</v>
      </c>
      <c r="AF439" t="s">
        <v>117</v>
      </c>
      <c r="AI439" t="s">
        <v>1284</v>
      </c>
      <c r="AJ439" t="s">
        <v>68</v>
      </c>
      <c r="AK439" t="s">
        <v>1641</v>
      </c>
      <c r="AL439" t="s">
        <v>70</v>
      </c>
      <c r="AM439">
        <v>31</v>
      </c>
      <c r="AN439">
        <v>2026</v>
      </c>
      <c r="AO439" t="s">
        <v>71</v>
      </c>
      <c r="AP439">
        <v>31</v>
      </c>
      <c r="AQ439" t="s">
        <v>71</v>
      </c>
    </row>
    <row r="440" spans="1:43" x14ac:dyDescent="0.25">
      <c r="A440">
        <v>439</v>
      </c>
      <c r="B440" t="s">
        <v>129</v>
      </c>
      <c r="C440" t="s">
        <v>2415</v>
      </c>
      <c r="D440" t="s">
        <v>2416</v>
      </c>
      <c r="E440" t="s">
        <v>2417</v>
      </c>
      <c r="F440" t="s">
        <v>47</v>
      </c>
      <c r="I440" t="s">
        <v>133</v>
      </c>
      <c r="K440" s="2">
        <v>46234.651352349501</v>
      </c>
      <c r="L440" s="2">
        <v>46234.663597453698</v>
      </c>
      <c r="M440" t="s">
        <v>1638</v>
      </c>
      <c r="N440" t="s">
        <v>1639</v>
      </c>
      <c r="O440" t="s">
        <v>54</v>
      </c>
      <c r="P440" t="s">
        <v>174</v>
      </c>
      <c r="Q440" t="s">
        <v>147</v>
      </c>
      <c r="S440" t="s">
        <v>1282</v>
      </c>
      <c r="V440" t="s">
        <v>59</v>
      </c>
      <c r="W440" t="s">
        <v>60</v>
      </c>
      <c r="X440" t="s">
        <v>61</v>
      </c>
      <c r="Y440" t="s">
        <v>47</v>
      </c>
      <c r="AA440" t="s">
        <v>2418</v>
      </c>
      <c r="AF440" t="s">
        <v>117</v>
      </c>
      <c r="AI440" t="s">
        <v>1284</v>
      </c>
      <c r="AJ440" t="s">
        <v>68</v>
      </c>
      <c r="AK440" t="s">
        <v>1641</v>
      </c>
      <c r="AL440" t="s">
        <v>70</v>
      </c>
      <c r="AM440">
        <v>31</v>
      </c>
      <c r="AN440">
        <v>2026</v>
      </c>
      <c r="AO440" t="s">
        <v>71</v>
      </c>
      <c r="AP440">
        <v>31</v>
      </c>
      <c r="AQ440" t="s">
        <v>71</v>
      </c>
    </row>
    <row r="441" spans="1:43" x14ac:dyDescent="0.25">
      <c r="A441">
        <v>440</v>
      </c>
      <c r="B441" t="s">
        <v>129</v>
      </c>
      <c r="C441" t="s">
        <v>2419</v>
      </c>
      <c r="D441" t="s">
        <v>2420</v>
      </c>
      <c r="E441" t="s">
        <v>2421</v>
      </c>
      <c r="F441" t="s">
        <v>47</v>
      </c>
      <c r="I441" t="s">
        <v>133</v>
      </c>
      <c r="K441" s="2">
        <v>46234.653901423597</v>
      </c>
      <c r="L441" s="2">
        <v>46234.670524537003</v>
      </c>
      <c r="M441" t="s">
        <v>1638</v>
      </c>
      <c r="N441" t="s">
        <v>1639</v>
      </c>
      <c r="O441" t="s">
        <v>54</v>
      </c>
      <c r="P441" t="s">
        <v>1010</v>
      </c>
      <c r="Q441" t="s">
        <v>405</v>
      </c>
      <c r="S441" t="s">
        <v>1282</v>
      </c>
      <c r="V441" t="s">
        <v>59</v>
      </c>
      <c r="W441" t="s">
        <v>60</v>
      </c>
      <c r="X441" t="s">
        <v>61</v>
      </c>
      <c r="Y441" t="s">
        <v>47</v>
      </c>
      <c r="AA441" t="s">
        <v>2422</v>
      </c>
      <c r="AF441" t="s">
        <v>117</v>
      </c>
      <c r="AI441" t="s">
        <v>2423</v>
      </c>
      <c r="AJ441" t="s">
        <v>68</v>
      </c>
      <c r="AK441" t="s">
        <v>1641</v>
      </c>
      <c r="AL441" t="s">
        <v>70</v>
      </c>
      <c r="AM441">
        <v>31</v>
      </c>
      <c r="AN441">
        <v>2026</v>
      </c>
      <c r="AO441" t="s">
        <v>71</v>
      </c>
      <c r="AP441">
        <v>31</v>
      </c>
      <c r="AQ441" t="s">
        <v>71</v>
      </c>
    </row>
    <row r="442" spans="1:43" x14ac:dyDescent="0.25">
      <c r="A442">
        <v>441</v>
      </c>
      <c r="B442" t="s">
        <v>129</v>
      </c>
      <c r="C442" t="s">
        <v>2424</v>
      </c>
      <c r="D442" t="s">
        <v>2425</v>
      </c>
      <c r="E442" t="s">
        <v>2426</v>
      </c>
      <c r="F442" t="s">
        <v>47</v>
      </c>
      <c r="I442" t="s">
        <v>133</v>
      </c>
      <c r="K442" s="2">
        <v>46234.655879976897</v>
      </c>
      <c r="L442" s="2">
        <v>46234.670524733803</v>
      </c>
      <c r="M442" t="s">
        <v>1165</v>
      </c>
      <c r="N442" t="s">
        <v>1166</v>
      </c>
      <c r="O442" t="s">
        <v>54</v>
      </c>
      <c r="P442" t="s">
        <v>855</v>
      </c>
      <c r="Q442" t="s">
        <v>161</v>
      </c>
      <c r="R442" t="s">
        <v>57</v>
      </c>
      <c r="S442" t="s">
        <v>1282</v>
      </c>
      <c r="V442" t="s">
        <v>59</v>
      </c>
      <c r="W442" t="s">
        <v>60</v>
      </c>
      <c r="X442" t="s">
        <v>61</v>
      </c>
      <c r="Y442" t="s">
        <v>47</v>
      </c>
      <c r="AA442" t="s">
        <v>2427</v>
      </c>
      <c r="AF442" t="s">
        <v>117</v>
      </c>
      <c r="AI442" t="s">
        <v>2423</v>
      </c>
      <c r="AJ442" t="s">
        <v>68</v>
      </c>
      <c r="AK442" t="s">
        <v>248</v>
      </c>
      <c r="AL442" t="s">
        <v>70</v>
      </c>
      <c r="AM442">
        <v>31</v>
      </c>
      <c r="AN442">
        <v>2026</v>
      </c>
      <c r="AO442" t="s">
        <v>71</v>
      </c>
      <c r="AP442">
        <v>31</v>
      </c>
      <c r="AQ442" t="s">
        <v>71</v>
      </c>
    </row>
    <row r="443" spans="1:43" x14ac:dyDescent="0.25">
      <c r="A443">
        <v>442</v>
      </c>
      <c r="B443" t="s">
        <v>129</v>
      </c>
      <c r="C443" t="s">
        <v>2428</v>
      </c>
      <c r="D443" t="s">
        <v>2429</v>
      </c>
      <c r="E443" t="s">
        <v>2430</v>
      </c>
      <c r="F443" t="s">
        <v>47</v>
      </c>
      <c r="I443" t="s">
        <v>133</v>
      </c>
      <c r="K443" s="2">
        <v>46234.658198379599</v>
      </c>
      <c r="L443" s="2">
        <v>46234.670524965302</v>
      </c>
      <c r="M443" t="s">
        <v>1638</v>
      </c>
      <c r="N443" t="s">
        <v>1639</v>
      </c>
      <c r="O443" t="s">
        <v>54</v>
      </c>
      <c r="P443" t="s">
        <v>146</v>
      </c>
      <c r="Q443" t="s">
        <v>147</v>
      </c>
      <c r="S443" t="s">
        <v>1282</v>
      </c>
      <c r="V443" t="s">
        <v>59</v>
      </c>
      <c r="W443" t="s">
        <v>60</v>
      </c>
      <c r="X443" t="s">
        <v>61</v>
      </c>
      <c r="Y443" t="s">
        <v>47</v>
      </c>
      <c r="AA443" t="s">
        <v>2431</v>
      </c>
      <c r="AF443" t="s">
        <v>117</v>
      </c>
      <c r="AI443" t="s">
        <v>1284</v>
      </c>
      <c r="AJ443" t="s">
        <v>68</v>
      </c>
      <c r="AK443" t="s">
        <v>1641</v>
      </c>
      <c r="AL443" t="s">
        <v>70</v>
      </c>
      <c r="AM443">
        <v>31</v>
      </c>
      <c r="AN443">
        <v>2026</v>
      </c>
      <c r="AO443" t="s">
        <v>71</v>
      </c>
      <c r="AP443">
        <v>31</v>
      </c>
      <c r="AQ443" t="s">
        <v>71</v>
      </c>
    </row>
    <row r="444" spans="1:43" x14ac:dyDescent="0.25">
      <c r="A444">
        <v>443</v>
      </c>
      <c r="B444" t="s">
        <v>129</v>
      </c>
      <c r="C444" t="s">
        <v>2432</v>
      </c>
      <c r="D444" t="s">
        <v>2433</v>
      </c>
      <c r="E444" t="s">
        <v>2434</v>
      </c>
      <c r="F444" t="s">
        <v>47</v>
      </c>
      <c r="I444" t="s">
        <v>133</v>
      </c>
      <c r="K444" s="2">
        <v>46234.659869872703</v>
      </c>
      <c r="L444" s="2">
        <v>46234.670525231501</v>
      </c>
      <c r="M444" t="s">
        <v>1638</v>
      </c>
      <c r="N444" t="s">
        <v>1639</v>
      </c>
      <c r="O444" t="s">
        <v>54</v>
      </c>
      <c r="P444" t="s">
        <v>88</v>
      </c>
      <c r="Q444" t="s">
        <v>56</v>
      </c>
      <c r="S444" t="s">
        <v>1282</v>
      </c>
      <c r="V444" t="s">
        <v>59</v>
      </c>
      <c r="W444" t="s">
        <v>60</v>
      </c>
      <c r="X444" t="s">
        <v>61</v>
      </c>
      <c r="Y444" t="s">
        <v>47</v>
      </c>
      <c r="AA444" t="s">
        <v>2435</v>
      </c>
      <c r="AF444" t="s">
        <v>117</v>
      </c>
      <c r="AI444" t="s">
        <v>2423</v>
      </c>
      <c r="AJ444" t="s">
        <v>68</v>
      </c>
      <c r="AK444" t="s">
        <v>1641</v>
      </c>
      <c r="AL444" t="s">
        <v>70</v>
      </c>
      <c r="AM444">
        <v>31</v>
      </c>
      <c r="AN444">
        <v>2026</v>
      </c>
      <c r="AO444" t="s">
        <v>71</v>
      </c>
      <c r="AP444">
        <v>31</v>
      </c>
      <c r="AQ444" t="s">
        <v>71</v>
      </c>
    </row>
    <row r="445" spans="1:43" x14ac:dyDescent="0.25">
      <c r="A445">
        <v>444</v>
      </c>
      <c r="B445" t="s">
        <v>129</v>
      </c>
      <c r="C445" t="s">
        <v>2436</v>
      </c>
      <c r="D445" t="s">
        <v>2437</v>
      </c>
      <c r="E445" t="s">
        <v>2438</v>
      </c>
      <c r="F445" t="s">
        <v>47</v>
      </c>
      <c r="I445" t="s">
        <v>133</v>
      </c>
      <c r="K445" s="2">
        <v>46234.661662696803</v>
      </c>
      <c r="L445" s="2">
        <v>46234.670525497699</v>
      </c>
      <c r="M445" t="s">
        <v>1638</v>
      </c>
      <c r="N445" t="s">
        <v>1639</v>
      </c>
      <c r="O445" t="s">
        <v>54</v>
      </c>
      <c r="P445" t="s">
        <v>174</v>
      </c>
      <c r="Q445" t="s">
        <v>218</v>
      </c>
      <c r="S445" t="s">
        <v>1282</v>
      </c>
      <c r="V445" t="s">
        <v>59</v>
      </c>
      <c r="W445" t="s">
        <v>60</v>
      </c>
      <c r="X445" t="s">
        <v>61</v>
      </c>
      <c r="Y445" t="s">
        <v>47</v>
      </c>
      <c r="AA445" t="s">
        <v>2439</v>
      </c>
      <c r="AF445" t="s">
        <v>117</v>
      </c>
      <c r="AI445" t="s">
        <v>1284</v>
      </c>
      <c r="AJ445" t="s">
        <v>68</v>
      </c>
      <c r="AK445" t="s">
        <v>1641</v>
      </c>
      <c r="AL445" t="s">
        <v>70</v>
      </c>
      <c r="AM445">
        <v>31</v>
      </c>
      <c r="AN445">
        <v>2026</v>
      </c>
      <c r="AO445" t="s">
        <v>71</v>
      </c>
      <c r="AP445">
        <v>31</v>
      </c>
      <c r="AQ445" t="s">
        <v>71</v>
      </c>
    </row>
    <row r="446" spans="1:43" x14ac:dyDescent="0.25">
      <c r="A446">
        <v>445</v>
      </c>
      <c r="B446" t="s">
        <v>129</v>
      </c>
      <c r="C446" t="s">
        <v>2440</v>
      </c>
      <c r="D446" t="s">
        <v>2441</v>
      </c>
      <c r="E446" t="s">
        <v>2442</v>
      </c>
      <c r="F446" t="s">
        <v>47</v>
      </c>
      <c r="I446" t="s">
        <v>133</v>
      </c>
      <c r="K446" s="2">
        <v>46234.663772256899</v>
      </c>
      <c r="L446" s="2">
        <v>46234.680945405104</v>
      </c>
      <c r="M446" t="s">
        <v>1638</v>
      </c>
      <c r="N446" t="s">
        <v>1639</v>
      </c>
      <c r="O446" t="s">
        <v>54</v>
      </c>
      <c r="P446" t="s">
        <v>174</v>
      </c>
      <c r="Q446" t="s">
        <v>218</v>
      </c>
      <c r="S446" t="s">
        <v>1282</v>
      </c>
      <c r="V446" t="s">
        <v>59</v>
      </c>
      <c r="W446" t="s">
        <v>60</v>
      </c>
      <c r="X446" t="s">
        <v>61</v>
      </c>
      <c r="Y446" t="s">
        <v>47</v>
      </c>
      <c r="AA446" t="s">
        <v>2443</v>
      </c>
      <c r="AF446" t="s">
        <v>117</v>
      </c>
      <c r="AI446" t="s">
        <v>1284</v>
      </c>
      <c r="AJ446" t="s">
        <v>68</v>
      </c>
      <c r="AK446" t="s">
        <v>1641</v>
      </c>
      <c r="AL446" t="s">
        <v>70</v>
      </c>
      <c r="AM446">
        <v>31</v>
      </c>
      <c r="AN446">
        <v>2026</v>
      </c>
      <c r="AO446" t="s">
        <v>71</v>
      </c>
      <c r="AP446">
        <v>31</v>
      </c>
      <c r="AQ446" t="s">
        <v>71</v>
      </c>
    </row>
    <row r="447" spans="1:43" x14ac:dyDescent="0.25">
      <c r="A447">
        <v>446</v>
      </c>
      <c r="B447" t="s">
        <v>129</v>
      </c>
      <c r="C447" t="s">
        <v>2444</v>
      </c>
      <c r="D447" t="s">
        <v>2445</v>
      </c>
      <c r="E447" t="s">
        <v>2446</v>
      </c>
      <c r="F447" t="s">
        <v>47</v>
      </c>
      <c r="I447" t="s">
        <v>133</v>
      </c>
      <c r="K447" s="2">
        <v>46234.668185300899</v>
      </c>
      <c r="L447" s="2">
        <v>46234.680946840301</v>
      </c>
      <c r="M447" t="s">
        <v>1165</v>
      </c>
      <c r="N447" t="s">
        <v>1166</v>
      </c>
      <c r="O447" t="s">
        <v>54</v>
      </c>
      <c r="P447" t="s">
        <v>55</v>
      </c>
      <c r="Q447" t="s">
        <v>405</v>
      </c>
      <c r="R447" t="s">
        <v>57</v>
      </c>
      <c r="S447" t="s">
        <v>1282</v>
      </c>
      <c r="V447" t="s">
        <v>59</v>
      </c>
      <c r="W447" t="s">
        <v>60</v>
      </c>
      <c r="X447" t="s">
        <v>61</v>
      </c>
      <c r="Y447" t="s">
        <v>47</v>
      </c>
      <c r="AA447" t="s">
        <v>2447</v>
      </c>
      <c r="AF447" t="s">
        <v>117</v>
      </c>
      <c r="AI447" t="s">
        <v>2423</v>
      </c>
      <c r="AJ447" t="s">
        <v>68</v>
      </c>
      <c r="AK447" t="s">
        <v>248</v>
      </c>
      <c r="AL447" t="s">
        <v>70</v>
      </c>
      <c r="AM447">
        <v>31</v>
      </c>
      <c r="AN447">
        <v>2026</v>
      </c>
      <c r="AO447" t="s">
        <v>71</v>
      </c>
      <c r="AP447">
        <v>31</v>
      </c>
      <c r="AQ447" t="s">
        <v>71</v>
      </c>
    </row>
    <row r="448" spans="1:43" x14ac:dyDescent="0.25">
      <c r="A448">
        <v>447</v>
      </c>
      <c r="B448" t="s">
        <v>129</v>
      </c>
      <c r="C448" t="s">
        <v>2448</v>
      </c>
      <c r="D448" t="s">
        <v>2449</v>
      </c>
      <c r="E448" t="s">
        <v>2450</v>
      </c>
      <c r="F448" t="s">
        <v>47</v>
      </c>
      <c r="I448" t="s">
        <v>133</v>
      </c>
      <c r="K448" s="2">
        <v>46234.673884259297</v>
      </c>
      <c r="L448" s="2">
        <v>46234.687557719903</v>
      </c>
      <c r="M448" t="s">
        <v>1433</v>
      </c>
      <c r="N448" t="s">
        <v>1434</v>
      </c>
      <c r="O448" t="s">
        <v>54</v>
      </c>
      <c r="P448" t="s">
        <v>174</v>
      </c>
      <c r="Q448" t="s">
        <v>147</v>
      </c>
      <c r="R448" t="s">
        <v>57</v>
      </c>
      <c r="S448" t="s">
        <v>1282</v>
      </c>
      <c r="V448" t="s">
        <v>59</v>
      </c>
      <c r="W448" t="s">
        <v>60</v>
      </c>
      <c r="X448" t="s">
        <v>61</v>
      </c>
      <c r="Y448" t="s">
        <v>47</v>
      </c>
      <c r="AA448" t="s">
        <v>2451</v>
      </c>
      <c r="AF448" t="s">
        <v>117</v>
      </c>
      <c r="AI448" t="s">
        <v>2423</v>
      </c>
      <c r="AJ448" t="s">
        <v>68</v>
      </c>
      <c r="AK448" t="s">
        <v>248</v>
      </c>
      <c r="AL448" t="s">
        <v>70</v>
      </c>
      <c r="AM448">
        <v>31</v>
      </c>
      <c r="AN448">
        <v>2026</v>
      </c>
      <c r="AO448" t="s">
        <v>71</v>
      </c>
      <c r="AP448">
        <v>31</v>
      </c>
      <c r="AQ448" t="s">
        <v>71</v>
      </c>
    </row>
    <row r="449" spans="1:43" x14ac:dyDescent="0.25">
      <c r="A449">
        <v>448</v>
      </c>
      <c r="B449" t="s">
        <v>129</v>
      </c>
      <c r="C449" t="s">
        <v>2452</v>
      </c>
      <c r="D449" t="s">
        <v>2453</v>
      </c>
      <c r="E449" t="s">
        <v>2454</v>
      </c>
      <c r="F449" t="s">
        <v>47</v>
      </c>
      <c r="I449" t="s">
        <v>133</v>
      </c>
      <c r="K449" s="2">
        <v>46234.6772913194</v>
      </c>
      <c r="L449" s="2">
        <v>46234.684062071799</v>
      </c>
      <c r="M449" t="s">
        <v>1638</v>
      </c>
      <c r="N449" t="s">
        <v>1639</v>
      </c>
      <c r="O449" t="s">
        <v>54</v>
      </c>
      <c r="P449" t="s">
        <v>174</v>
      </c>
      <c r="Q449" t="s">
        <v>218</v>
      </c>
      <c r="S449" t="s">
        <v>1282</v>
      </c>
      <c r="V449" t="s">
        <v>59</v>
      </c>
      <c r="W449" t="s">
        <v>60</v>
      </c>
      <c r="X449" t="s">
        <v>61</v>
      </c>
      <c r="Y449" t="s">
        <v>47</v>
      </c>
      <c r="AA449" t="s">
        <v>2455</v>
      </c>
      <c r="AF449" t="s">
        <v>117</v>
      </c>
      <c r="AI449" t="s">
        <v>2423</v>
      </c>
      <c r="AJ449" t="s">
        <v>68</v>
      </c>
      <c r="AK449" t="s">
        <v>1641</v>
      </c>
      <c r="AL449" t="s">
        <v>70</v>
      </c>
      <c r="AM449">
        <v>31</v>
      </c>
      <c r="AN449">
        <v>2026</v>
      </c>
      <c r="AO449" t="s">
        <v>71</v>
      </c>
      <c r="AP449">
        <v>31</v>
      </c>
      <c r="AQ449" t="s">
        <v>71</v>
      </c>
    </row>
    <row r="450" spans="1:43" x14ac:dyDescent="0.25">
      <c r="A450">
        <v>449</v>
      </c>
      <c r="B450" t="s">
        <v>129</v>
      </c>
      <c r="C450" t="s">
        <v>2456</v>
      </c>
      <c r="D450" t="s">
        <v>2457</v>
      </c>
      <c r="E450" t="s">
        <v>2458</v>
      </c>
      <c r="F450" t="s">
        <v>47</v>
      </c>
      <c r="I450" t="s">
        <v>133</v>
      </c>
      <c r="K450" s="2">
        <v>46234.683650034698</v>
      </c>
      <c r="L450" s="2">
        <v>46234.691384953701</v>
      </c>
      <c r="M450" t="s">
        <v>1433</v>
      </c>
      <c r="N450" t="s">
        <v>1434</v>
      </c>
      <c r="O450" t="s">
        <v>54</v>
      </c>
      <c r="P450" t="s">
        <v>88</v>
      </c>
      <c r="Q450" t="s">
        <v>147</v>
      </c>
      <c r="R450" t="s">
        <v>57</v>
      </c>
      <c r="S450" t="s">
        <v>1282</v>
      </c>
      <c r="V450" t="s">
        <v>59</v>
      </c>
      <c r="W450" t="s">
        <v>60</v>
      </c>
      <c r="X450" t="s">
        <v>61</v>
      </c>
      <c r="Y450" t="s">
        <v>47</v>
      </c>
      <c r="AA450" t="s">
        <v>2459</v>
      </c>
      <c r="AF450" t="s">
        <v>117</v>
      </c>
      <c r="AI450" t="s">
        <v>1284</v>
      </c>
      <c r="AJ450" t="s">
        <v>68</v>
      </c>
      <c r="AK450" t="s">
        <v>248</v>
      </c>
      <c r="AL450" t="s">
        <v>70</v>
      </c>
      <c r="AM450">
        <v>31</v>
      </c>
      <c r="AN450">
        <v>2026</v>
      </c>
      <c r="AO450" t="s">
        <v>71</v>
      </c>
      <c r="AP450">
        <v>31</v>
      </c>
      <c r="AQ450" t="s">
        <v>71</v>
      </c>
    </row>
    <row r="451" spans="1:43" x14ac:dyDescent="0.25">
      <c r="A451">
        <v>450</v>
      </c>
      <c r="B451" t="s">
        <v>229</v>
      </c>
      <c r="C451" t="s">
        <v>2460</v>
      </c>
      <c r="D451" t="s">
        <v>2461</v>
      </c>
      <c r="E451" t="s">
        <v>2462</v>
      </c>
      <c r="F451" t="s">
        <v>47</v>
      </c>
      <c r="I451" t="s">
        <v>233</v>
      </c>
      <c r="K451" s="2">
        <v>46234.435963773103</v>
      </c>
      <c r="L451" s="2">
        <v>46234.4480126157</v>
      </c>
      <c r="M451" t="s">
        <v>1638</v>
      </c>
      <c r="N451" t="s">
        <v>1639</v>
      </c>
      <c r="O451" t="s">
        <v>54</v>
      </c>
      <c r="P451" t="s">
        <v>55</v>
      </c>
      <c r="Q451" t="s">
        <v>218</v>
      </c>
      <c r="S451" t="s">
        <v>1282</v>
      </c>
      <c r="V451" t="s">
        <v>59</v>
      </c>
      <c r="W451" t="s">
        <v>90</v>
      </c>
      <c r="X451" t="s">
        <v>61</v>
      </c>
      <c r="Y451" t="s">
        <v>47</v>
      </c>
      <c r="AA451" t="s">
        <v>2463</v>
      </c>
      <c r="AF451" t="s">
        <v>245</v>
      </c>
      <c r="AI451" t="s">
        <v>754</v>
      </c>
      <c r="AJ451" t="s">
        <v>68</v>
      </c>
      <c r="AK451" t="s">
        <v>1641</v>
      </c>
      <c r="AL451" t="s">
        <v>70</v>
      </c>
      <c r="AM451">
        <v>31</v>
      </c>
      <c r="AN451">
        <v>2026</v>
      </c>
      <c r="AO451" t="s">
        <v>71</v>
      </c>
      <c r="AP451">
        <v>31</v>
      </c>
      <c r="AQ451" t="s">
        <v>71</v>
      </c>
    </row>
    <row r="452" spans="1:43" x14ac:dyDescent="0.25">
      <c r="A452">
        <v>451</v>
      </c>
      <c r="B452" t="s">
        <v>229</v>
      </c>
      <c r="C452" t="s">
        <v>2464</v>
      </c>
      <c r="D452" t="s">
        <v>2465</v>
      </c>
      <c r="E452" t="s">
        <v>2466</v>
      </c>
      <c r="F452" t="s">
        <v>75</v>
      </c>
      <c r="I452" t="s">
        <v>233</v>
      </c>
      <c r="K452" s="2">
        <v>46234.568856134298</v>
      </c>
      <c r="L452" s="2">
        <v>46234.572997604198</v>
      </c>
      <c r="M452" t="s">
        <v>1638</v>
      </c>
      <c r="N452" t="s">
        <v>1639</v>
      </c>
      <c r="O452" t="s">
        <v>54</v>
      </c>
      <c r="P452" t="s">
        <v>55</v>
      </c>
      <c r="Q452" t="s">
        <v>161</v>
      </c>
      <c r="S452" t="s">
        <v>1282</v>
      </c>
      <c r="V452" t="s">
        <v>59</v>
      </c>
      <c r="W452" t="s">
        <v>90</v>
      </c>
      <c r="X452" t="s">
        <v>61</v>
      </c>
      <c r="Y452" t="s">
        <v>75</v>
      </c>
      <c r="AA452" t="s">
        <v>2467</v>
      </c>
      <c r="AF452" t="s">
        <v>245</v>
      </c>
      <c r="AK452" t="s">
        <v>1641</v>
      </c>
      <c r="AL452" t="s">
        <v>70</v>
      </c>
      <c r="AM452">
        <v>31</v>
      </c>
      <c r="AN452">
        <v>2026</v>
      </c>
      <c r="AO452" t="s">
        <v>71</v>
      </c>
      <c r="AP452">
        <v>31</v>
      </c>
      <c r="AQ452" t="s">
        <v>71</v>
      </c>
    </row>
    <row r="453" spans="1:43" x14ac:dyDescent="0.25">
      <c r="A453">
        <v>452</v>
      </c>
      <c r="B453" t="s">
        <v>229</v>
      </c>
      <c r="C453" t="s">
        <v>2468</v>
      </c>
      <c r="D453" t="s">
        <v>2469</v>
      </c>
      <c r="E453" t="s">
        <v>2470</v>
      </c>
      <c r="F453" t="s">
        <v>47</v>
      </c>
      <c r="I453" t="s">
        <v>233</v>
      </c>
      <c r="K453" s="2">
        <v>46234.577299421297</v>
      </c>
      <c r="L453" s="2">
        <v>46234.594275266201</v>
      </c>
      <c r="M453" t="s">
        <v>1165</v>
      </c>
      <c r="N453" t="s">
        <v>1166</v>
      </c>
      <c r="O453" t="s">
        <v>54</v>
      </c>
      <c r="P453" t="s">
        <v>55</v>
      </c>
      <c r="Q453" t="s">
        <v>154</v>
      </c>
      <c r="R453" t="s">
        <v>57</v>
      </c>
      <c r="S453" t="s">
        <v>1282</v>
      </c>
      <c r="V453" t="s">
        <v>59</v>
      </c>
      <c r="W453" t="s">
        <v>90</v>
      </c>
      <c r="X453" t="s">
        <v>61</v>
      </c>
      <c r="Y453" t="s">
        <v>47</v>
      </c>
      <c r="AA453" t="s">
        <v>2471</v>
      </c>
      <c r="AF453" t="s">
        <v>245</v>
      </c>
      <c r="AI453" t="s">
        <v>1549</v>
      </c>
      <c r="AJ453" t="s">
        <v>68</v>
      </c>
      <c r="AK453" t="s">
        <v>248</v>
      </c>
      <c r="AL453" t="s">
        <v>70</v>
      </c>
      <c r="AM453">
        <v>31</v>
      </c>
      <c r="AN453">
        <v>2026</v>
      </c>
      <c r="AO453" t="s">
        <v>71</v>
      </c>
      <c r="AP453">
        <v>31</v>
      </c>
      <c r="AQ453" t="s">
        <v>71</v>
      </c>
    </row>
    <row r="454" spans="1:43" x14ac:dyDescent="0.25">
      <c r="A454">
        <v>453</v>
      </c>
      <c r="B454" t="s">
        <v>229</v>
      </c>
      <c r="C454" t="s">
        <v>2472</v>
      </c>
      <c r="D454" t="s">
        <v>2473</v>
      </c>
      <c r="E454" t="s">
        <v>2474</v>
      </c>
      <c r="F454" t="s">
        <v>47</v>
      </c>
      <c r="I454" t="s">
        <v>233</v>
      </c>
      <c r="K454" s="2">
        <v>46234.586957951396</v>
      </c>
      <c r="L454" s="2">
        <v>46234.600741169001</v>
      </c>
      <c r="M454" t="s">
        <v>1638</v>
      </c>
      <c r="N454" t="s">
        <v>1639</v>
      </c>
      <c r="O454" t="s">
        <v>54</v>
      </c>
      <c r="P454" t="s">
        <v>174</v>
      </c>
      <c r="Q454" t="s">
        <v>161</v>
      </c>
      <c r="S454" t="s">
        <v>1282</v>
      </c>
      <c r="V454" t="s">
        <v>59</v>
      </c>
      <c r="W454" t="s">
        <v>90</v>
      </c>
      <c r="X454" t="s">
        <v>61</v>
      </c>
      <c r="Y454" t="s">
        <v>47</v>
      </c>
      <c r="AA454" t="s">
        <v>2475</v>
      </c>
      <c r="AF454" t="s">
        <v>245</v>
      </c>
      <c r="AI454" t="s">
        <v>754</v>
      </c>
      <c r="AJ454" t="s">
        <v>68</v>
      </c>
      <c r="AK454" t="s">
        <v>1641</v>
      </c>
      <c r="AL454" t="s">
        <v>70</v>
      </c>
      <c r="AM454">
        <v>31</v>
      </c>
      <c r="AN454">
        <v>2026</v>
      </c>
      <c r="AO454" t="s">
        <v>71</v>
      </c>
      <c r="AP454">
        <v>31</v>
      </c>
      <c r="AQ454" t="s">
        <v>71</v>
      </c>
    </row>
    <row r="455" spans="1:43" x14ac:dyDescent="0.25">
      <c r="A455">
        <v>454</v>
      </c>
      <c r="B455" t="s">
        <v>229</v>
      </c>
      <c r="C455" t="s">
        <v>2476</v>
      </c>
      <c r="D455" t="s">
        <v>2477</v>
      </c>
      <c r="E455" t="s">
        <v>2478</v>
      </c>
      <c r="F455" t="s">
        <v>47</v>
      </c>
      <c r="I455" t="s">
        <v>233</v>
      </c>
      <c r="K455" s="2">
        <v>46234.592106053198</v>
      </c>
      <c r="L455" s="2">
        <v>46234.604223645802</v>
      </c>
      <c r="M455" t="s">
        <v>1638</v>
      </c>
      <c r="N455" t="s">
        <v>1639</v>
      </c>
      <c r="O455" t="s">
        <v>54</v>
      </c>
      <c r="P455" t="s">
        <v>174</v>
      </c>
      <c r="Q455" t="s">
        <v>161</v>
      </c>
      <c r="S455" t="s">
        <v>1282</v>
      </c>
      <c r="V455" t="s">
        <v>59</v>
      </c>
      <c r="W455" t="s">
        <v>90</v>
      </c>
      <c r="X455" t="s">
        <v>61</v>
      </c>
      <c r="Y455" t="s">
        <v>47</v>
      </c>
      <c r="AA455" t="s">
        <v>2479</v>
      </c>
      <c r="AF455" t="s">
        <v>245</v>
      </c>
      <c r="AI455" t="s">
        <v>1549</v>
      </c>
      <c r="AJ455" t="s">
        <v>68</v>
      </c>
      <c r="AK455" t="s">
        <v>1641</v>
      </c>
      <c r="AL455" t="s">
        <v>70</v>
      </c>
      <c r="AM455">
        <v>31</v>
      </c>
      <c r="AN455">
        <v>2026</v>
      </c>
      <c r="AO455" t="s">
        <v>71</v>
      </c>
      <c r="AP455">
        <v>31</v>
      </c>
      <c r="AQ455" t="s">
        <v>71</v>
      </c>
    </row>
    <row r="456" spans="1:43" x14ac:dyDescent="0.25">
      <c r="A456">
        <v>455</v>
      </c>
      <c r="B456" t="s">
        <v>229</v>
      </c>
      <c r="C456" t="s">
        <v>2480</v>
      </c>
      <c r="D456" t="s">
        <v>2481</v>
      </c>
      <c r="E456" t="s">
        <v>2482</v>
      </c>
      <c r="F456" t="s">
        <v>47</v>
      </c>
      <c r="I456" t="s">
        <v>233</v>
      </c>
      <c r="K456" s="2">
        <v>46234.597169641202</v>
      </c>
      <c r="L456" s="2">
        <v>46234.618325960597</v>
      </c>
      <c r="M456" t="s">
        <v>1638</v>
      </c>
      <c r="N456" t="s">
        <v>1639</v>
      </c>
      <c r="O456" t="s">
        <v>54</v>
      </c>
      <c r="P456" t="s">
        <v>88</v>
      </c>
      <c r="Q456" t="s">
        <v>161</v>
      </c>
      <c r="S456" t="s">
        <v>1282</v>
      </c>
      <c r="V456" t="s">
        <v>59</v>
      </c>
      <c r="W456" t="s">
        <v>90</v>
      </c>
      <c r="X456" t="s">
        <v>61</v>
      </c>
      <c r="Y456" t="s">
        <v>47</v>
      </c>
      <c r="AA456" t="s">
        <v>2483</v>
      </c>
      <c r="AF456" t="s">
        <v>235</v>
      </c>
      <c r="AI456" t="s">
        <v>1097</v>
      </c>
      <c r="AJ456" t="s">
        <v>68</v>
      </c>
      <c r="AK456" t="s">
        <v>1641</v>
      </c>
      <c r="AL456" t="s">
        <v>70</v>
      </c>
      <c r="AM456">
        <v>31</v>
      </c>
      <c r="AN456">
        <v>2026</v>
      </c>
      <c r="AO456" t="s">
        <v>71</v>
      </c>
      <c r="AP456">
        <v>31</v>
      </c>
      <c r="AQ456" t="s">
        <v>71</v>
      </c>
    </row>
    <row r="457" spans="1:43" x14ac:dyDescent="0.25">
      <c r="A457">
        <v>456</v>
      </c>
      <c r="B457" t="s">
        <v>229</v>
      </c>
      <c r="C457" t="s">
        <v>2484</v>
      </c>
      <c r="D457" t="s">
        <v>2485</v>
      </c>
      <c r="E457" t="s">
        <v>2486</v>
      </c>
      <c r="F457" t="s">
        <v>47</v>
      </c>
      <c r="I457" t="s">
        <v>233</v>
      </c>
      <c r="K457" s="2">
        <v>46234.601930173601</v>
      </c>
      <c r="L457" s="2">
        <v>46234.618327199103</v>
      </c>
      <c r="M457" t="s">
        <v>1433</v>
      </c>
      <c r="N457" t="s">
        <v>1434</v>
      </c>
      <c r="O457" t="s">
        <v>54</v>
      </c>
      <c r="P457" t="s">
        <v>55</v>
      </c>
      <c r="Q457" t="s">
        <v>113</v>
      </c>
      <c r="R457" t="s">
        <v>57</v>
      </c>
      <c r="S457" t="s">
        <v>1282</v>
      </c>
      <c r="V457" t="s">
        <v>59</v>
      </c>
      <c r="W457" t="s">
        <v>90</v>
      </c>
      <c r="X457" t="s">
        <v>61</v>
      </c>
      <c r="Y457" t="s">
        <v>47</v>
      </c>
      <c r="AA457" t="s">
        <v>2487</v>
      </c>
      <c r="AF457" t="s">
        <v>245</v>
      </c>
      <c r="AI457" t="s">
        <v>754</v>
      </c>
      <c r="AJ457" t="s">
        <v>68</v>
      </c>
      <c r="AK457" t="s">
        <v>248</v>
      </c>
      <c r="AL457" t="s">
        <v>70</v>
      </c>
      <c r="AM457">
        <v>31</v>
      </c>
      <c r="AN457">
        <v>2026</v>
      </c>
      <c r="AO457" t="s">
        <v>71</v>
      </c>
      <c r="AP457">
        <v>31</v>
      </c>
      <c r="AQ457" t="s">
        <v>71</v>
      </c>
    </row>
    <row r="458" spans="1:43" x14ac:dyDescent="0.25">
      <c r="A458">
        <v>457</v>
      </c>
      <c r="B458" t="s">
        <v>229</v>
      </c>
      <c r="C458" t="s">
        <v>2488</v>
      </c>
      <c r="D458" t="s">
        <v>2489</v>
      </c>
      <c r="E458" t="s">
        <v>2490</v>
      </c>
      <c r="F458" t="s">
        <v>47</v>
      </c>
      <c r="I458" t="s">
        <v>233</v>
      </c>
      <c r="K458" s="2">
        <v>46234.605297453701</v>
      </c>
      <c r="L458" s="2">
        <v>46234.611679664398</v>
      </c>
      <c r="M458" t="s">
        <v>1638</v>
      </c>
      <c r="N458" t="s">
        <v>1639</v>
      </c>
      <c r="O458" t="s">
        <v>54</v>
      </c>
      <c r="P458" t="s">
        <v>55</v>
      </c>
      <c r="Q458" t="s">
        <v>185</v>
      </c>
      <c r="S458" t="s">
        <v>1282</v>
      </c>
      <c r="V458" t="s">
        <v>59</v>
      </c>
      <c r="W458" t="s">
        <v>90</v>
      </c>
      <c r="X458" t="s">
        <v>61</v>
      </c>
      <c r="Y458" t="s">
        <v>47</v>
      </c>
      <c r="AA458" t="s">
        <v>2491</v>
      </c>
      <c r="AF458" t="s">
        <v>245</v>
      </c>
      <c r="AI458" t="s">
        <v>1097</v>
      </c>
      <c r="AJ458" t="s">
        <v>68</v>
      </c>
      <c r="AK458" t="s">
        <v>1641</v>
      </c>
      <c r="AL458" t="s">
        <v>70</v>
      </c>
      <c r="AM458">
        <v>31</v>
      </c>
      <c r="AN458">
        <v>2026</v>
      </c>
      <c r="AO458" t="s">
        <v>71</v>
      </c>
      <c r="AP458">
        <v>31</v>
      </c>
      <c r="AQ458" t="s">
        <v>71</v>
      </c>
    </row>
    <row r="459" spans="1:43" x14ac:dyDescent="0.25">
      <c r="A459">
        <v>458</v>
      </c>
      <c r="B459" t="s">
        <v>249</v>
      </c>
      <c r="C459" t="s">
        <v>2492</v>
      </c>
      <c r="D459" t="s">
        <v>2493</v>
      </c>
      <c r="E459" t="s">
        <v>2494</v>
      </c>
      <c r="F459" t="s">
        <v>47</v>
      </c>
      <c r="I459" t="s">
        <v>254</v>
      </c>
      <c r="K459" s="2">
        <v>46234.426825115697</v>
      </c>
      <c r="L459" s="2">
        <v>46234.4306174421</v>
      </c>
      <c r="M459" t="s">
        <v>1165</v>
      </c>
      <c r="N459" t="s">
        <v>1166</v>
      </c>
      <c r="O459" t="s">
        <v>54</v>
      </c>
      <c r="P459" t="s">
        <v>55</v>
      </c>
      <c r="Q459" t="s">
        <v>161</v>
      </c>
      <c r="R459" t="s">
        <v>57</v>
      </c>
      <c r="S459" t="s">
        <v>1282</v>
      </c>
      <c r="V459" t="s">
        <v>59</v>
      </c>
      <c r="W459" t="s">
        <v>90</v>
      </c>
      <c r="X459" t="s">
        <v>61</v>
      </c>
      <c r="Y459" t="s">
        <v>47</v>
      </c>
      <c r="AA459" t="s">
        <v>2495</v>
      </c>
      <c r="AF459" t="s">
        <v>92</v>
      </c>
      <c r="AI459" t="s">
        <v>551</v>
      </c>
      <c r="AJ459" t="s">
        <v>68</v>
      </c>
      <c r="AK459" t="s">
        <v>248</v>
      </c>
      <c r="AL459" t="s">
        <v>70</v>
      </c>
      <c r="AM459">
        <v>31</v>
      </c>
      <c r="AN459">
        <v>2026</v>
      </c>
      <c r="AO459" t="s">
        <v>71</v>
      </c>
      <c r="AP459">
        <v>31</v>
      </c>
      <c r="AQ459" t="s">
        <v>71</v>
      </c>
    </row>
    <row r="460" spans="1:43" x14ac:dyDescent="0.25">
      <c r="A460">
        <v>459</v>
      </c>
      <c r="B460" t="s">
        <v>249</v>
      </c>
      <c r="C460" t="s">
        <v>2496</v>
      </c>
      <c r="D460" t="s">
        <v>2497</v>
      </c>
      <c r="E460" t="s">
        <v>2498</v>
      </c>
      <c r="F460" t="s">
        <v>47</v>
      </c>
      <c r="I460" t="s">
        <v>254</v>
      </c>
      <c r="K460" s="2">
        <v>46234.429015775502</v>
      </c>
      <c r="L460" s="2">
        <v>46234.441382326397</v>
      </c>
      <c r="M460" t="s">
        <v>1638</v>
      </c>
      <c r="N460" t="s">
        <v>1639</v>
      </c>
      <c r="O460" t="s">
        <v>54</v>
      </c>
      <c r="P460" t="s">
        <v>88</v>
      </c>
      <c r="Q460" t="s">
        <v>147</v>
      </c>
      <c r="S460" t="s">
        <v>1282</v>
      </c>
      <c r="V460" t="s">
        <v>59</v>
      </c>
      <c r="W460" t="s">
        <v>90</v>
      </c>
      <c r="X460" t="s">
        <v>61</v>
      </c>
      <c r="Y460" t="s">
        <v>47</v>
      </c>
      <c r="AA460" t="s">
        <v>2499</v>
      </c>
      <c r="AF460" t="s">
        <v>92</v>
      </c>
      <c r="AI460" t="s">
        <v>551</v>
      </c>
      <c r="AJ460" t="s">
        <v>68</v>
      </c>
      <c r="AK460" t="s">
        <v>1641</v>
      </c>
      <c r="AL460" t="s">
        <v>70</v>
      </c>
      <c r="AM460">
        <v>31</v>
      </c>
      <c r="AN460">
        <v>2026</v>
      </c>
      <c r="AO460" t="s">
        <v>71</v>
      </c>
      <c r="AP460">
        <v>31</v>
      </c>
      <c r="AQ460" t="s">
        <v>71</v>
      </c>
    </row>
    <row r="461" spans="1:43" x14ac:dyDescent="0.25">
      <c r="A461">
        <v>460</v>
      </c>
      <c r="B461" t="s">
        <v>249</v>
      </c>
      <c r="C461" t="s">
        <v>2500</v>
      </c>
      <c r="D461" t="s">
        <v>2501</v>
      </c>
      <c r="E461" t="s">
        <v>2502</v>
      </c>
      <c r="F461" t="s">
        <v>47</v>
      </c>
      <c r="I461" t="s">
        <v>254</v>
      </c>
      <c r="K461" s="2">
        <v>46234.4309743056</v>
      </c>
      <c r="L461" s="2">
        <v>46234.441355208299</v>
      </c>
      <c r="M461" t="s">
        <v>2394</v>
      </c>
      <c r="N461" t="s">
        <v>2395</v>
      </c>
      <c r="O461" t="s">
        <v>54</v>
      </c>
      <c r="P461" t="s">
        <v>55</v>
      </c>
      <c r="Q461" t="s">
        <v>56</v>
      </c>
      <c r="S461" t="s">
        <v>1282</v>
      </c>
      <c r="V461" t="s">
        <v>59</v>
      </c>
      <c r="W461" t="s">
        <v>90</v>
      </c>
      <c r="X461" t="s">
        <v>61</v>
      </c>
      <c r="Y461" t="s">
        <v>47</v>
      </c>
      <c r="AA461" t="s">
        <v>2503</v>
      </c>
      <c r="AF461" t="s">
        <v>92</v>
      </c>
      <c r="AI461" t="s">
        <v>551</v>
      </c>
      <c r="AJ461" t="s">
        <v>68</v>
      </c>
      <c r="AK461" t="s">
        <v>248</v>
      </c>
      <c r="AL461" t="s">
        <v>70</v>
      </c>
      <c r="AM461">
        <v>31</v>
      </c>
      <c r="AN461">
        <v>2026</v>
      </c>
      <c r="AO461" t="s">
        <v>71</v>
      </c>
      <c r="AP461">
        <v>31</v>
      </c>
      <c r="AQ461" t="s">
        <v>71</v>
      </c>
    </row>
    <row r="462" spans="1:43" x14ac:dyDescent="0.25">
      <c r="A462">
        <v>461</v>
      </c>
      <c r="B462" t="s">
        <v>249</v>
      </c>
      <c r="C462" t="s">
        <v>2504</v>
      </c>
      <c r="D462" t="s">
        <v>2505</v>
      </c>
      <c r="E462" t="s">
        <v>2506</v>
      </c>
      <c r="F462" t="s">
        <v>47</v>
      </c>
      <c r="I462" t="s">
        <v>254</v>
      </c>
      <c r="K462" s="2">
        <v>46234.432798344897</v>
      </c>
      <c r="L462" s="2">
        <v>46234.451889699099</v>
      </c>
      <c r="M462" t="s">
        <v>1638</v>
      </c>
      <c r="N462" t="s">
        <v>1639</v>
      </c>
      <c r="O462" t="s">
        <v>54</v>
      </c>
      <c r="P462" t="s">
        <v>55</v>
      </c>
      <c r="Q462" t="s">
        <v>89</v>
      </c>
      <c r="S462" t="s">
        <v>1282</v>
      </c>
      <c r="V462" t="s">
        <v>59</v>
      </c>
      <c r="W462" t="s">
        <v>90</v>
      </c>
      <c r="X462" t="s">
        <v>61</v>
      </c>
      <c r="Y462" t="s">
        <v>47</v>
      </c>
      <c r="AA462" t="s">
        <v>2507</v>
      </c>
      <c r="AF462" t="s">
        <v>92</v>
      </c>
      <c r="AI462" t="s">
        <v>551</v>
      </c>
      <c r="AJ462" t="s">
        <v>68</v>
      </c>
      <c r="AK462" t="s">
        <v>1641</v>
      </c>
      <c r="AL462" t="s">
        <v>70</v>
      </c>
      <c r="AM462">
        <v>31</v>
      </c>
      <c r="AN462">
        <v>2026</v>
      </c>
      <c r="AO462" t="s">
        <v>71</v>
      </c>
      <c r="AP462">
        <v>31</v>
      </c>
      <c r="AQ462" t="s">
        <v>71</v>
      </c>
    </row>
    <row r="463" spans="1:43" x14ac:dyDescent="0.25">
      <c r="A463">
        <v>462</v>
      </c>
      <c r="B463" t="s">
        <v>249</v>
      </c>
      <c r="C463" t="s">
        <v>2508</v>
      </c>
      <c r="D463" t="s">
        <v>2509</v>
      </c>
      <c r="E463" t="s">
        <v>2510</v>
      </c>
      <c r="F463" t="s">
        <v>47</v>
      </c>
      <c r="I463" t="s">
        <v>254</v>
      </c>
      <c r="K463" s="2">
        <v>46234.435620567099</v>
      </c>
      <c r="L463" s="2">
        <v>46234.448012928202</v>
      </c>
      <c r="M463" t="s">
        <v>1638</v>
      </c>
      <c r="N463" t="s">
        <v>1639</v>
      </c>
      <c r="O463" t="s">
        <v>54</v>
      </c>
      <c r="P463" t="s">
        <v>55</v>
      </c>
      <c r="Q463" t="s">
        <v>154</v>
      </c>
      <c r="S463" t="s">
        <v>1282</v>
      </c>
      <c r="V463" t="s">
        <v>59</v>
      </c>
      <c r="W463" t="s">
        <v>90</v>
      </c>
      <c r="X463" t="s">
        <v>61</v>
      </c>
      <c r="Y463" t="s">
        <v>47</v>
      </c>
      <c r="AA463" t="s">
        <v>2511</v>
      </c>
      <c r="AF463" t="s">
        <v>92</v>
      </c>
      <c r="AI463" t="s">
        <v>551</v>
      </c>
      <c r="AJ463" t="s">
        <v>68</v>
      </c>
      <c r="AK463" t="s">
        <v>1641</v>
      </c>
      <c r="AL463" t="s">
        <v>70</v>
      </c>
      <c r="AM463">
        <v>31</v>
      </c>
      <c r="AN463">
        <v>2026</v>
      </c>
      <c r="AO463" t="s">
        <v>71</v>
      </c>
      <c r="AP463">
        <v>31</v>
      </c>
      <c r="AQ463" t="s">
        <v>71</v>
      </c>
    </row>
    <row r="464" spans="1:43" x14ac:dyDescent="0.25">
      <c r="A464">
        <v>463</v>
      </c>
      <c r="B464" t="s">
        <v>249</v>
      </c>
      <c r="C464" t="s">
        <v>2512</v>
      </c>
      <c r="D464" t="s">
        <v>2513</v>
      </c>
      <c r="E464" t="s">
        <v>2514</v>
      </c>
      <c r="F464" t="s">
        <v>47</v>
      </c>
      <c r="I464" t="s">
        <v>254</v>
      </c>
      <c r="K464" s="2">
        <v>46234.437501770801</v>
      </c>
      <c r="L464" s="2">
        <v>46234.451891006902</v>
      </c>
      <c r="M464" t="s">
        <v>1638</v>
      </c>
      <c r="N464" t="s">
        <v>1639</v>
      </c>
      <c r="O464" t="s">
        <v>54</v>
      </c>
      <c r="P464" t="s">
        <v>55</v>
      </c>
      <c r="Q464" t="s">
        <v>296</v>
      </c>
      <c r="S464" t="s">
        <v>1282</v>
      </c>
      <c r="V464" t="s">
        <v>59</v>
      </c>
      <c r="W464" t="s">
        <v>90</v>
      </c>
      <c r="X464" t="s">
        <v>61</v>
      </c>
      <c r="Y464" t="s">
        <v>47</v>
      </c>
      <c r="AA464" t="s">
        <v>2515</v>
      </c>
      <c r="AF464" t="s">
        <v>92</v>
      </c>
      <c r="AI464" t="s">
        <v>551</v>
      </c>
      <c r="AJ464" t="s">
        <v>68</v>
      </c>
      <c r="AK464" t="s">
        <v>1641</v>
      </c>
      <c r="AL464" t="s">
        <v>70</v>
      </c>
      <c r="AM464">
        <v>31</v>
      </c>
      <c r="AN464">
        <v>2026</v>
      </c>
      <c r="AO464" t="s">
        <v>71</v>
      </c>
      <c r="AP464">
        <v>31</v>
      </c>
      <c r="AQ464" t="s">
        <v>71</v>
      </c>
    </row>
    <row r="465" spans="1:43" x14ac:dyDescent="0.25">
      <c r="A465">
        <v>464</v>
      </c>
      <c r="B465" t="s">
        <v>249</v>
      </c>
      <c r="C465" t="s">
        <v>2516</v>
      </c>
      <c r="D465" t="s">
        <v>2517</v>
      </c>
      <c r="E465" t="s">
        <v>2518</v>
      </c>
      <c r="F465" t="s">
        <v>47</v>
      </c>
      <c r="I465" t="s">
        <v>254</v>
      </c>
      <c r="K465" s="2">
        <v>46234.439201967602</v>
      </c>
      <c r="L465" s="2">
        <v>46234.451890474498</v>
      </c>
      <c r="M465" t="s">
        <v>1165</v>
      </c>
      <c r="N465" t="s">
        <v>1166</v>
      </c>
      <c r="O465" t="s">
        <v>54</v>
      </c>
      <c r="P465" t="s">
        <v>55</v>
      </c>
      <c r="Q465" t="s">
        <v>154</v>
      </c>
      <c r="R465" t="s">
        <v>57</v>
      </c>
      <c r="S465" t="s">
        <v>1282</v>
      </c>
      <c r="V465" t="s">
        <v>59</v>
      </c>
      <c r="W465" t="s">
        <v>90</v>
      </c>
      <c r="X465" t="s">
        <v>61</v>
      </c>
      <c r="Y465" t="s">
        <v>47</v>
      </c>
      <c r="AA465" t="s">
        <v>2519</v>
      </c>
      <c r="AF465" t="s">
        <v>92</v>
      </c>
      <c r="AI465" t="s">
        <v>551</v>
      </c>
      <c r="AJ465" t="s">
        <v>68</v>
      </c>
      <c r="AK465" t="s">
        <v>248</v>
      </c>
      <c r="AL465" t="s">
        <v>70</v>
      </c>
      <c r="AM465">
        <v>31</v>
      </c>
      <c r="AN465">
        <v>2026</v>
      </c>
      <c r="AO465" t="s">
        <v>71</v>
      </c>
      <c r="AP465">
        <v>31</v>
      </c>
      <c r="AQ465" t="s">
        <v>71</v>
      </c>
    </row>
    <row r="466" spans="1:43" x14ac:dyDescent="0.25">
      <c r="A466">
        <v>465</v>
      </c>
      <c r="B466" t="s">
        <v>249</v>
      </c>
      <c r="C466" t="s">
        <v>2520</v>
      </c>
      <c r="D466" t="s">
        <v>2521</v>
      </c>
      <c r="E466" t="s">
        <v>2522</v>
      </c>
      <c r="F466" t="s">
        <v>47</v>
      </c>
      <c r="I466" t="s">
        <v>254</v>
      </c>
      <c r="K466" s="2">
        <v>46234.441190856502</v>
      </c>
      <c r="L466" s="2">
        <v>46234.458721030103</v>
      </c>
      <c r="M466" t="s">
        <v>1638</v>
      </c>
      <c r="N466" t="s">
        <v>1639</v>
      </c>
      <c r="O466" t="s">
        <v>54</v>
      </c>
      <c r="P466" t="s">
        <v>55</v>
      </c>
      <c r="Q466" t="s">
        <v>161</v>
      </c>
      <c r="S466" t="s">
        <v>1282</v>
      </c>
      <c r="V466" t="s">
        <v>59</v>
      </c>
      <c r="W466" t="s">
        <v>90</v>
      </c>
      <c r="X466" t="s">
        <v>61</v>
      </c>
      <c r="Y466" t="s">
        <v>47</v>
      </c>
      <c r="AA466" t="s">
        <v>2523</v>
      </c>
      <c r="AF466" t="s">
        <v>92</v>
      </c>
      <c r="AI466" t="s">
        <v>551</v>
      </c>
      <c r="AJ466" t="s">
        <v>68</v>
      </c>
      <c r="AK466" t="s">
        <v>1641</v>
      </c>
      <c r="AL466" t="s">
        <v>70</v>
      </c>
      <c r="AM466">
        <v>31</v>
      </c>
      <c r="AN466">
        <v>2026</v>
      </c>
      <c r="AO466" t="s">
        <v>71</v>
      </c>
      <c r="AP466">
        <v>31</v>
      </c>
      <c r="AQ466" t="s">
        <v>71</v>
      </c>
    </row>
    <row r="467" spans="1:43" x14ac:dyDescent="0.25">
      <c r="A467">
        <v>466</v>
      </c>
      <c r="B467" t="s">
        <v>249</v>
      </c>
      <c r="C467" t="s">
        <v>2524</v>
      </c>
      <c r="D467" t="s">
        <v>2525</v>
      </c>
      <c r="E467" t="s">
        <v>2526</v>
      </c>
      <c r="F467" t="s">
        <v>47</v>
      </c>
      <c r="I467" t="s">
        <v>254</v>
      </c>
      <c r="K467" s="2">
        <v>46234.4429071759</v>
      </c>
      <c r="L467" s="2">
        <v>46234.458721678202</v>
      </c>
      <c r="M467" t="s">
        <v>1638</v>
      </c>
      <c r="N467" t="s">
        <v>1639</v>
      </c>
      <c r="O467" t="s">
        <v>54</v>
      </c>
      <c r="P467" t="s">
        <v>55</v>
      </c>
      <c r="Q467" t="s">
        <v>147</v>
      </c>
      <c r="S467" t="s">
        <v>1282</v>
      </c>
      <c r="V467" t="s">
        <v>59</v>
      </c>
      <c r="W467" t="s">
        <v>90</v>
      </c>
      <c r="X467" t="s">
        <v>61</v>
      </c>
      <c r="Y467" t="s">
        <v>47</v>
      </c>
      <c r="AA467" t="s">
        <v>2527</v>
      </c>
      <c r="AF467" t="s">
        <v>92</v>
      </c>
      <c r="AI467" t="s">
        <v>551</v>
      </c>
      <c r="AJ467" t="s">
        <v>68</v>
      </c>
      <c r="AK467" t="s">
        <v>1641</v>
      </c>
      <c r="AL467" t="s">
        <v>70</v>
      </c>
      <c r="AM467">
        <v>31</v>
      </c>
      <c r="AN467">
        <v>2026</v>
      </c>
      <c r="AO467" t="s">
        <v>71</v>
      </c>
      <c r="AP467">
        <v>31</v>
      </c>
      <c r="AQ467" t="s">
        <v>71</v>
      </c>
    </row>
    <row r="468" spans="1:43" x14ac:dyDescent="0.25">
      <c r="A468">
        <v>467</v>
      </c>
      <c r="B468" t="s">
        <v>249</v>
      </c>
      <c r="C468" t="s">
        <v>2528</v>
      </c>
      <c r="D468" t="s">
        <v>2529</v>
      </c>
      <c r="E468" t="s">
        <v>2530</v>
      </c>
      <c r="F468" t="s">
        <v>47</v>
      </c>
      <c r="I468" t="s">
        <v>254</v>
      </c>
      <c r="K468" s="2">
        <v>46234.444642326402</v>
      </c>
      <c r="L468" s="2">
        <v>46234.458722256903</v>
      </c>
      <c r="M468" t="s">
        <v>1638</v>
      </c>
      <c r="N468" t="s">
        <v>1639</v>
      </c>
      <c r="O468" t="s">
        <v>54</v>
      </c>
      <c r="P468" t="s">
        <v>55</v>
      </c>
      <c r="Q468" t="s">
        <v>147</v>
      </c>
      <c r="S468" t="s">
        <v>1282</v>
      </c>
      <c r="V468" t="s">
        <v>59</v>
      </c>
      <c r="W468" t="s">
        <v>90</v>
      </c>
      <c r="X468" t="s">
        <v>61</v>
      </c>
      <c r="Y468" t="s">
        <v>47</v>
      </c>
      <c r="AA468" t="s">
        <v>2531</v>
      </c>
      <c r="AF468" t="s">
        <v>92</v>
      </c>
      <c r="AI468" t="s">
        <v>551</v>
      </c>
      <c r="AJ468" t="s">
        <v>68</v>
      </c>
      <c r="AK468" t="s">
        <v>1641</v>
      </c>
      <c r="AL468" t="s">
        <v>70</v>
      </c>
      <c r="AM468">
        <v>31</v>
      </c>
      <c r="AN468">
        <v>2026</v>
      </c>
      <c r="AO468" t="s">
        <v>71</v>
      </c>
      <c r="AP468">
        <v>31</v>
      </c>
      <c r="AQ468" t="s">
        <v>71</v>
      </c>
    </row>
    <row r="469" spans="1:43" x14ac:dyDescent="0.25">
      <c r="A469">
        <v>468</v>
      </c>
      <c r="B469" t="s">
        <v>664</v>
      </c>
      <c r="C469" t="s">
        <v>2532</v>
      </c>
      <c r="D469" t="s">
        <v>2533</v>
      </c>
      <c r="E469" t="s">
        <v>2534</v>
      </c>
      <c r="F469" t="s">
        <v>47</v>
      </c>
      <c r="I469" t="s">
        <v>670</v>
      </c>
      <c r="K469" s="2">
        <v>46234.428346099499</v>
      </c>
      <c r="L469" s="2">
        <v>46234.441383564801</v>
      </c>
      <c r="M469" t="s">
        <v>1638</v>
      </c>
      <c r="N469" t="s">
        <v>1639</v>
      </c>
      <c r="O469" t="s">
        <v>54</v>
      </c>
      <c r="P469" t="s">
        <v>55</v>
      </c>
      <c r="Q469" t="s">
        <v>147</v>
      </c>
      <c r="S469" t="s">
        <v>1282</v>
      </c>
      <c r="V469" t="s">
        <v>59</v>
      </c>
      <c r="W469" t="s">
        <v>90</v>
      </c>
      <c r="X469" t="s">
        <v>61</v>
      </c>
      <c r="Y469" t="s">
        <v>47</v>
      </c>
      <c r="AA469" t="s">
        <v>2535</v>
      </c>
      <c r="AF469" t="s">
        <v>245</v>
      </c>
      <c r="AI469" t="s">
        <v>2536</v>
      </c>
      <c r="AJ469" t="s">
        <v>68</v>
      </c>
      <c r="AK469" t="s">
        <v>1641</v>
      </c>
      <c r="AL469" t="s">
        <v>70</v>
      </c>
      <c r="AM469">
        <v>31</v>
      </c>
      <c r="AN469">
        <v>2026</v>
      </c>
      <c r="AO469" t="s">
        <v>71</v>
      </c>
      <c r="AP469">
        <v>31</v>
      </c>
      <c r="AQ469" t="s">
        <v>71</v>
      </c>
    </row>
    <row r="470" spans="1:43" x14ac:dyDescent="0.25">
      <c r="A470">
        <v>469</v>
      </c>
      <c r="B470" t="s">
        <v>664</v>
      </c>
      <c r="C470" t="s">
        <v>2537</v>
      </c>
      <c r="D470" t="s">
        <v>2538</v>
      </c>
      <c r="E470" t="s">
        <v>2539</v>
      </c>
      <c r="F470" t="s">
        <v>47</v>
      </c>
      <c r="I470" t="s">
        <v>670</v>
      </c>
      <c r="K470" s="2">
        <v>46234.432383020801</v>
      </c>
      <c r="L470" s="2">
        <v>46234.448012152803</v>
      </c>
      <c r="M470" t="s">
        <v>1433</v>
      </c>
      <c r="N470" t="s">
        <v>1434</v>
      </c>
      <c r="O470" t="s">
        <v>54</v>
      </c>
      <c r="P470" t="s">
        <v>88</v>
      </c>
      <c r="Q470" t="s">
        <v>218</v>
      </c>
      <c r="R470" t="s">
        <v>57</v>
      </c>
      <c r="S470" t="s">
        <v>1282</v>
      </c>
      <c r="V470" t="s">
        <v>59</v>
      </c>
      <c r="W470" t="s">
        <v>90</v>
      </c>
      <c r="X470" t="s">
        <v>61</v>
      </c>
      <c r="Y470" t="s">
        <v>47</v>
      </c>
      <c r="AA470" t="s">
        <v>2540</v>
      </c>
      <c r="AF470" t="s">
        <v>245</v>
      </c>
      <c r="AI470" t="s">
        <v>2541</v>
      </c>
      <c r="AJ470" t="s">
        <v>68</v>
      </c>
      <c r="AK470" t="s">
        <v>248</v>
      </c>
      <c r="AL470" t="s">
        <v>70</v>
      </c>
      <c r="AM470">
        <v>31</v>
      </c>
      <c r="AN470">
        <v>2026</v>
      </c>
      <c r="AO470" t="s">
        <v>71</v>
      </c>
      <c r="AP470">
        <v>31</v>
      </c>
      <c r="AQ470" t="s">
        <v>71</v>
      </c>
    </row>
    <row r="471" spans="1:43" x14ac:dyDescent="0.25">
      <c r="A471">
        <v>470</v>
      </c>
      <c r="B471" t="s">
        <v>664</v>
      </c>
      <c r="C471" t="s">
        <v>2542</v>
      </c>
      <c r="D471" t="s">
        <v>2543</v>
      </c>
      <c r="E471" t="s">
        <v>2544</v>
      </c>
      <c r="F471" t="s">
        <v>47</v>
      </c>
      <c r="I471" t="s">
        <v>670</v>
      </c>
      <c r="K471" s="2">
        <v>46234.438895104198</v>
      </c>
      <c r="L471" s="2">
        <v>46234.448013344903</v>
      </c>
      <c r="M471" t="s">
        <v>1638</v>
      </c>
      <c r="N471" t="s">
        <v>1639</v>
      </c>
      <c r="O471" t="s">
        <v>54</v>
      </c>
      <c r="P471" t="s">
        <v>55</v>
      </c>
      <c r="Q471" t="s">
        <v>89</v>
      </c>
      <c r="S471" t="s">
        <v>1282</v>
      </c>
      <c r="V471" t="s">
        <v>59</v>
      </c>
      <c r="W471" t="s">
        <v>90</v>
      </c>
      <c r="X471" t="s">
        <v>61</v>
      </c>
      <c r="Y471" t="s">
        <v>47</v>
      </c>
      <c r="AA471" t="s">
        <v>2545</v>
      </c>
      <c r="AF471" t="s">
        <v>245</v>
      </c>
      <c r="AI471" t="s">
        <v>2546</v>
      </c>
      <c r="AJ471" t="s">
        <v>68</v>
      </c>
      <c r="AK471" t="s">
        <v>1641</v>
      </c>
      <c r="AL471" t="s">
        <v>70</v>
      </c>
      <c r="AM471">
        <v>31</v>
      </c>
      <c r="AN471">
        <v>2026</v>
      </c>
      <c r="AO471" t="s">
        <v>71</v>
      </c>
      <c r="AP471">
        <v>31</v>
      </c>
      <c r="AQ471" t="s">
        <v>71</v>
      </c>
    </row>
    <row r="472" spans="1:43" x14ac:dyDescent="0.25">
      <c r="A472">
        <v>471</v>
      </c>
      <c r="B472" t="s">
        <v>664</v>
      </c>
      <c r="C472" t="s">
        <v>2547</v>
      </c>
      <c r="D472" t="s">
        <v>2548</v>
      </c>
      <c r="E472" t="s">
        <v>2549</v>
      </c>
      <c r="F472" t="s">
        <v>47</v>
      </c>
      <c r="I472" t="s">
        <v>670</v>
      </c>
      <c r="K472" s="2">
        <v>46234.445729282401</v>
      </c>
      <c r="L472" s="2">
        <v>46234.455041400499</v>
      </c>
      <c r="M472" t="s">
        <v>1433</v>
      </c>
      <c r="N472" t="s">
        <v>1434</v>
      </c>
      <c r="O472" t="s">
        <v>54</v>
      </c>
      <c r="P472" t="s">
        <v>55</v>
      </c>
      <c r="Q472" t="s">
        <v>571</v>
      </c>
      <c r="R472" t="s">
        <v>57</v>
      </c>
      <c r="S472" t="s">
        <v>1282</v>
      </c>
      <c r="V472" t="s">
        <v>59</v>
      </c>
      <c r="W472" t="s">
        <v>90</v>
      </c>
      <c r="X472" t="s">
        <v>61</v>
      </c>
      <c r="Y472" t="s">
        <v>47</v>
      </c>
      <c r="AA472" t="s">
        <v>2550</v>
      </c>
      <c r="AF472" t="s">
        <v>245</v>
      </c>
      <c r="AI472" t="s">
        <v>2551</v>
      </c>
      <c r="AJ472" t="s">
        <v>68</v>
      </c>
      <c r="AK472" t="s">
        <v>248</v>
      </c>
      <c r="AL472" t="s">
        <v>70</v>
      </c>
      <c r="AM472">
        <v>31</v>
      </c>
      <c r="AN472">
        <v>2026</v>
      </c>
      <c r="AO472" t="s">
        <v>71</v>
      </c>
      <c r="AP472">
        <v>31</v>
      </c>
      <c r="AQ472" t="s">
        <v>71</v>
      </c>
    </row>
    <row r="473" spans="1:43" x14ac:dyDescent="0.25">
      <c r="A473">
        <v>472</v>
      </c>
      <c r="B473" t="s">
        <v>664</v>
      </c>
      <c r="C473" t="s">
        <v>2552</v>
      </c>
      <c r="D473" t="s">
        <v>2553</v>
      </c>
      <c r="E473" t="s">
        <v>2554</v>
      </c>
      <c r="F473" t="s">
        <v>47</v>
      </c>
      <c r="I473" t="s">
        <v>670</v>
      </c>
      <c r="K473" s="2">
        <v>46234.458971909698</v>
      </c>
      <c r="L473" s="2">
        <v>46234.472786921302</v>
      </c>
      <c r="M473" t="s">
        <v>1165</v>
      </c>
      <c r="N473" t="s">
        <v>1166</v>
      </c>
      <c r="O473" t="s">
        <v>54</v>
      </c>
      <c r="P473" t="s">
        <v>174</v>
      </c>
      <c r="Q473" t="s">
        <v>218</v>
      </c>
      <c r="R473" t="s">
        <v>57</v>
      </c>
      <c r="S473" t="s">
        <v>1282</v>
      </c>
      <c r="V473" t="s">
        <v>59</v>
      </c>
      <c r="W473" t="s">
        <v>90</v>
      </c>
      <c r="X473" t="s">
        <v>61</v>
      </c>
      <c r="Y473" t="s">
        <v>47</v>
      </c>
      <c r="AA473" t="s">
        <v>2555</v>
      </c>
      <c r="AF473" t="s">
        <v>245</v>
      </c>
      <c r="AI473" t="s">
        <v>2556</v>
      </c>
      <c r="AJ473" t="s">
        <v>68</v>
      </c>
      <c r="AK473" t="s">
        <v>248</v>
      </c>
      <c r="AL473" t="s">
        <v>70</v>
      </c>
      <c r="AM473">
        <v>31</v>
      </c>
      <c r="AN473">
        <v>2026</v>
      </c>
      <c r="AO473" t="s">
        <v>71</v>
      </c>
      <c r="AP473">
        <v>31</v>
      </c>
      <c r="AQ473" t="s">
        <v>71</v>
      </c>
    </row>
    <row r="474" spans="1:43" x14ac:dyDescent="0.25">
      <c r="A474">
        <v>473</v>
      </c>
      <c r="B474" t="s">
        <v>263</v>
      </c>
      <c r="C474" t="s">
        <v>2557</v>
      </c>
      <c r="D474" t="s">
        <v>2558</v>
      </c>
      <c r="E474" t="s">
        <v>2559</v>
      </c>
      <c r="F474" t="s">
        <v>47</v>
      </c>
      <c r="I474" t="s">
        <v>267</v>
      </c>
      <c r="K474" s="2">
        <v>46234.659478784699</v>
      </c>
      <c r="L474" s="2">
        <v>46234.670525115696</v>
      </c>
      <c r="M474" t="s">
        <v>1638</v>
      </c>
      <c r="N474" t="s">
        <v>1639</v>
      </c>
      <c r="O474" t="s">
        <v>54</v>
      </c>
      <c r="P474" t="s">
        <v>55</v>
      </c>
      <c r="Q474" t="s">
        <v>147</v>
      </c>
      <c r="S474" t="s">
        <v>1282</v>
      </c>
      <c r="V474" t="s">
        <v>59</v>
      </c>
      <c r="W474" t="s">
        <v>90</v>
      </c>
      <c r="X474" t="s">
        <v>61</v>
      </c>
      <c r="Y474" t="s">
        <v>47</v>
      </c>
      <c r="AA474" t="s">
        <v>2560</v>
      </c>
      <c r="AF474" t="s">
        <v>92</v>
      </c>
      <c r="AI474" t="s">
        <v>269</v>
      </c>
      <c r="AJ474" t="s">
        <v>68</v>
      </c>
      <c r="AK474" t="s">
        <v>1641</v>
      </c>
      <c r="AL474" t="s">
        <v>70</v>
      </c>
      <c r="AM474">
        <v>31</v>
      </c>
      <c r="AN474">
        <v>2026</v>
      </c>
      <c r="AO474" t="s">
        <v>71</v>
      </c>
      <c r="AP474">
        <v>31</v>
      </c>
      <c r="AQ474" t="s">
        <v>71</v>
      </c>
    </row>
    <row r="475" spans="1:43" x14ac:dyDescent="0.25">
      <c r="A475">
        <v>474</v>
      </c>
      <c r="B475" t="s">
        <v>263</v>
      </c>
      <c r="C475" t="s">
        <v>2561</v>
      </c>
      <c r="D475" t="s">
        <v>2562</v>
      </c>
      <c r="E475" t="s">
        <v>2563</v>
      </c>
      <c r="F475" t="s">
        <v>47</v>
      </c>
      <c r="I475" t="s">
        <v>267</v>
      </c>
      <c r="K475" s="2">
        <v>46234.665056099497</v>
      </c>
      <c r="L475" s="2">
        <v>46234.677288043997</v>
      </c>
      <c r="M475" t="s">
        <v>1638</v>
      </c>
      <c r="N475" t="s">
        <v>1639</v>
      </c>
      <c r="O475" t="s">
        <v>54</v>
      </c>
      <c r="P475" t="s">
        <v>88</v>
      </c>
      <c r="Q475" t="s">
        <v>405</v>
      </c>
      <c r="S475" t="s">
        <v>1282</v>
      </c>
      <c r="V475" t="s">
        <v>59</v>
      </c>
      <c r="W475" t="s">
        <v>90</v>
      </c>
      <c r="X475" t="s">
        <v>61</v>
      </c>
      <c r="Y475" t="s">
        <v>47</v>
      </c>
      <c r="AA475" t="s">
        <v>2564</v>
      </c>
      <c r="AF475" t="s">
        <v>92</v>
      </c>
      <c r="AI475" t="s">
        <v>269</v>
      </c>
      <c r="AJ475" t="s">
        <v>68</v>
      </c>
      <c r="AK475" t="s">
        <v>1641</v>
      </c>
      <c r="AL475" t="s">
        <v>70</v>
      </c>
      <c r="AM475">
        <v>31</v>
      </c>
      <c r="AN475">
        <v>2026</v>
      </c>
      <c r="AO475" t="s">
        <v>71</v>
      </c>
      <c r="AP475">
        <v>31</v>
      </c>
      <c r="AQ475" t="s">
        <v>71</v>
      </c>
    </row>
    <row r="476" spans="1:43" x14ac:dyDescent="0.25">
      <c r="A476">
        <v>475</v>
      </c>
      <c r="B476" t="s">
        <v>263</v>
      </c>
      <c r="C476" t="s">
        <v>2565</v>
      </c>
      <c r="D476" t="s">
        <v>2566</v>
      </c>
      <c r="E476" t="s">
        <v>2567</v>
      </c>
      <c r="F476" t="s">
        <v>47</v>
      </c>
      <c r="I476" t="s">
        <v>267</v>
      </c>
      <c r="K476" s="2">
        <v>46234.671723148102</v>
      </c>
      <c r="L476" s="2">
        <v>46234.680948495399</v>
      </c>
      <c r="M476" t="s">
        <v>1638</v>
      </c>
      <c r="N476" t="s">
        <v>1639</v>
      </c>
      <c r="O476" t="s">
        <v>54</v>
      </c>
      <c r="P476" t="s">
        <v>88</v>
      </c>
      <c r="Q476" t="s">
        <v>56</v>
      </c>
      <c r="S476" t="s">
        <v>1282</v>
      </c>
      <c r="V476" t="s">
        <v>59</v>
      </c>
      <c r="W476" t="s">
        <v>90</v>
      </c>
      <c r="X476" t="s">
        <v>61</v>
      </c>
      <c r="Y476" t="s">
        <v>47</v>
      </c>
      <c r="AA476" t="s">
        <v>2568</v>
      </c>
      <c r="AF476" t="s">
        <v>92</v>
      </c>
      <c r="AI476" t="s">
        <v>2304</v>
      </c>
      <c r="AJ476" t="s">
        <v>68</v>
      </c>
      <c r="AK476" t="s">
        <v>1641</v>
      </c>
      <c r="AL476" t="s">
        <v>70</v>
      </c>
      <c r="AM476">
        <v>31</v>
      </c>
      <c r="AN476">
        <v>2026</v>
      </c>
      <c r="AO476" t="s">
        <v>71</v>
      </c>
      <c r="AP476">
        <v>31</v>
      </c>
      <c r="AQ476" t="s">
        <v>71</v>
      </c>
    </row>
    <row r="477" spans="1:43" x14ac:dyDescent="0.25">
      <c r="A477">
        <v>476</v>
      </c>
      <c r="B477" t="s">
        <v>263</v>
      </c>
      <c r="C477" t="s">
        <v>2569</v>
      </c>
      <c r="D477" t="s">
        <v>2570</v>
      </c>
      <c r="E477" t="s">
        <v>2571</v>
      </c>
      <c r="F477" t="s">
        <v>47</v>
      </c>
      <c r="I477" t="s">
        <v>267</v>
      </c>
      <c r="K477" s="2">
        <v>46234.6769804051</v>
      </c>
      <c r="L477" s="2">
        <v>46234.6875580208</v>
      </c>
      <c r="M477" t="s">
        <v>1638</v>
      </c>
      <c r="N477" t="s">
        <v>1639</v>
      </c>
      <c r="O477" t="s">
        <v>54</v>
      </c>
      <c r="P477" t="s">
        <v>88</v>
      </c>
      <c r="Q477" t="s">
        <v>161</v>
      </c>
      <c r="S477" t="s">
        <v>1282</v>
      </c>
      <c r="V477" t="s">
        <v>59</v>
      </c>
      <c r="W477" t="s">
        <v>90</v>
      </c>
      <c r="X477" t="s">
        <v>61</v>
      </c>
      <c r="Y477" t="s">
        <v>47</v>
      </c>
      <c r="AA477" t="s">
        <v>2572</v>
      </c>
      <c r="AF477" t="s">
        <v>92</v>
      </c>
      <c r="AI477" t="s">
        <v>2304</v>
      </c>
      <c r="AJ477" t="s">
        <v>68</v>
      </c>
      <c r="AK477" t="s">
        <v>1641</v>
      </c>
      <c r="AL477" t="s">
        <v>70</v>
      </c>
      <c r="AM477">
        <v>31</v>
      </c>
      <c r="AN477">
        <v>2026</v>
      </c>
      <c r="AO477" t="s">
        <v>71</v>
      </c>
      <c r="AP477">
        <v>31</v>
      </c>
      <c r="AQ477" t="s">
        <v>71</v>
      </c>
    </row>
    <row r="478" spans="1:43" x14ac:dyDescent="0.25">
      <c r="A478">
        <v>477</v>
      </c>
      <c r="B478" t="s">
        <v>263</v>
      </c>
      <c r="C478" t="s">
        <v>2573</v>
      </c>
      <c r="D478" t="s">
        <v>2574</v>
      </c>
      <c r="E478" t="s">
        <v>2575</v>
      </c>
      <c r="F478" t="s">
        <v>47</v>
      </c>
      <c r="I478" t="s">
        <v>267</v>
      </c>
      <c r="K478">
        <v>46234.682621956003</v>
      </c>
      <c r="L478">
        <v>46234.691385150501</v>
      </c>
      <c r="M478" t="s">
        <v>1638</v>
      </c>
      <c r="N478" t="s">
        <v>1639</v>
      </c>
      <c r="O478" t="s">
        <v>54</v>
      </c>
      <c r="P478" t="s">
        <v>88</v>
      </c>
      <c r="Q478" t="s">
        <v>405</v>
      </c>
      <c r="S478" t="s">
        <v>1282</v>
      </c>
      <c r="V478" t="s">
        <v>59</v>
      </c>
      <c r="W478" t="s">
        <v>90</v>
      </c>
      <c r="X478" t="s">
        <v>61</v>
      </c>
      <c r="Y478" t="s">
        <v>47</v>
      </c>
      <c r="AA478" t="s">
        <v>2576</v>
      </c>
      <c r="AF478" t="s">
        <v>92</v>
      </c>
      <c r="AI478" t="s">
        <v>269</v>
      </c>
      <c r="AJ478" t="s">
        <v>68</v>
      </c>
      <c r="AK478" t="s">
        <v>1641</v>
      </c>
      <c r="AL478" t="s">
        <v>70</v>
      </c>
      <c r="AM478">
        <v>31</v>
      </c>
      <c r="AN478">
        <v>2026</v>
      </c>
      <c r="AO478" t="s">
        <v>71</v>
      </c>
      <c r="AP478">
        <v>31</v>
      </c>
      <c r="AQ478" t="s">
        <v>71</v>
      </c>
    </row>
    <row r="479" spans="1:43" x14ac:dyDescent="0.25">
      <c r="A479">
        <v>478</v>
      </c>
      <c r="B479" t="s">
        <v>99</v>
      </c>
      <c r="C479" t="s">
        <v>2602</v>
      </c>
      <c r="D479" t="s">
        <v>2603</v>
      </c>
      <c r="E479" t="s">
        <v>2604</v>
      </c>
      <c r="F479" t="s">
        <v>47</v>
      </c>
      <c r="I479" t="s">
        <v>1460</v>
      </c>
      <c r="K479">
        <v>46235</v>
      </c>
      <c r="L479">
        <v>46235.354240474502</v>
      </c>
      <c r="M479" t="s">
        <v>1165</v>
      </c>
      <c r="N479" t="s">
        <v>1166</v>
      </c>
      <c r="O479" t="s">
        <v>54</v>
      </c>
      <c r="P479" t="s">
        <v>55</v>
      </c>
      <c r="Q479" t="s">
        <v>218</v>
      </c>
      <c r="R479" t="s">
        <v>57</v>
      </c>
      <c r="S479" t="s">
        <v>1282</v>
      </c>
      <c r="V479" t="s">
        <v>59</v>
      </c>
      <c r="W479" t="s">
        <v>90</v>
      </c>
      <c r="X479" t="s">
        <v>61</v>
      </c>
      <c r="Y479" t="s">
        <v>47</v>
      </c>
      <c r="AA479" t="s">
        <v>2026</v>
      </c>
      <c r="AF479" t="s">
        <v>92</v>
      </c>
      <c r="AI479" t="s">
        <v>2605</v>
      </c>
      <c r="AJ479" t="s">
        <v>68</v>
      </c>
      <c r="AK479" t="s">
        <v>248</v>
      </c>
      <c r="AL479" t="s">
        <v>70</v>
      </c>
      <c r="AM479">
        <v>1</v>
      </c>
      <c r="AN479">
        <v>2026</v>
      </c>
      <c r="AO479" t="s">
        <v>2589</v>
      </c>
      <c r="AP479">
        <v>1</v>
      </c>
      <c r="AQ479" t="s">
        <v>2589</v>
      </c>
    </row>
    <row r="480" spans="1:43" x14ac:dyDescent="0.25">
      <c r="A480">
        <v>479</v>
      </c>
      <c r="B480" t="s">
        <v>106</v>
      </c>
      <c r="C480" t="s">
        <v>2606</v>
      </c>
      <c r="D480" t="s">
        <v>2607</v>
      </c>
      <c r="E480" t="s">
        <v>2608</v>
      </c>
      <c r="F480" t="s">
        <v>47</v>
      </c>
      <c r="I480" t="s">
        <v>112</v>
      </c>
      <c r="K480">
        <v>46235</v>
      </c>
      <c r="L480">
        <v>46235.704906365703</v>
      </c>
      <c r="M480" t="s">
        <v>1638</v>
      </c>
      <c r="N480" t="s">
        <v>1639</v>
      </c>
      <c r="O480" t="s">
        <v>54</v>
      </c>
      <c r="P480" t="s">
        <v>88</v>
      </c>
      <c r="Q480" t="s">
        <v>126</v>
      </c>
      <c r="S480" t="s">
        <v>1282</v>
      </c>
      <c r="V480" t="s">
        <v>59</v>
      </c>
      <c r="W480" t="s">
        <v>60</v>
      </c>
      <c r="X480" t="s">
        <v>61</v>
      </c>
      <c r="Y480" t="s">
        <v>47</v>
      </c>
      <c r="AA480" t="s">
        <v>2609</v>
      </c>
      <c r="AF480" t="s">
        <v>117</v>
      </c>
      <c r="AI480" t="s">
        <v>1898</v>
      </c>
      <c r="AJ480" t="s">
        <v>68</v>
      </c>
      <c r="AK480" t="s">
        <v>1641</v>
      </c>
      <c r="AL480" t="s">
        <v>70</v>
      </c>
      <c r="AM480">
        <v>1</v>
      </c>
      <c r="AN480">
        <v>2026</v>
      </c>
      <c r="AO480" t="s">
        <v>2589</v>
      </c>
      <c r="AP480">
        <v>1</v>
      </c>
      <c r="AQ480" t="s">
        <v>2589</v>
      </c>
    </row>
    <row r="481" spans="1:43" x14ac:dyDescent="0.25">
      <c r="A481">
        <v>480</v>
      </c>
      <c r="B481" t="s">
        <v>345</v>
      </c>
      <c r="C481" t="s">
        <v>2610</v>
      </c>
      <c r="D481" t="s">
        <v>2611</v>
      </c>
      <c r="E481" t="s">
        <v>2612</v>
      </c>
      <c r="F481" t="s">
        <v>47</v>
      </c>
      <c r="I481" t="s">
        <v>351</v>
      </c>
      <c r="K481">
        <v>46235</v>
      </c>
      <c r="L481">
        <v>46235.538359872698</v>
      </c>
      <c r="M481" t="s">
        <v>1165</v>
      </c>
      <c r="N481" t="s">
        <v>1166</v>
      </c>
      <c r="O481" t="s">
        <v>54</v>
      </c>
      <c r="P481" t="s">
        <v>55</v>
      </c>
      <c r="Q481" t="s">
        <v>89</v>
      </c>
      <c r="R481" t="s">
        <v>57</v>
      </c>
      <c r="S481" t="s">
        <v>1282</v>
      </c>
      <c r="V481" t="s">
        <v>59</v>
      </c>
      <c r="W481" t="s">
        <v>90</v>
      </c>
      <c r="X481" t="s">
        <v>61</v>
      </c>
      <c r="Y481" t="s">
        <v>47</v>
      </c>
      <c r="AA481" t="s">
        <v>2613</v>
      </c>
      <c r="AF481" t="s">
        <v>65</v>
      </c>
      <c r="AI481" t="s">
        <v>1264</v>
      </c>
      <c r="AJ481" t="s">
        <v>68</v>
      </c>
      <c r="AK481" t="s">
        <v>248</v>
      </c>
      <c r="AL481" t="s">
        <v>70</v>
      </c>
      <c r="AM481">
        <v>1</v>
      </c>
      <c r="AN481">
        <v>2026</v>
      </c>
      <c r="AO481" t="s">
        <v>2589</v>
      </c>
      <c r="AP481">
        <v>1</v>
      </c>
      <c r="AQ481" t="s">
        <v>2589</v>
      </c>
    </row>
    <row r="482" spans="1:43" x14ac:dyDescent="0.25">
      <c r="A482">
        <v>481</v>
      </c>
      <c r="B482" t="s">
        <v>129</v>
      </c>
      <c r="C482" t="s">
        <v>2614</v>
      </c>
      <c r="D482" t="s">
        <v>2615</v>
      </c>
      <c r="E482" t="s">
        <v>2616</v>
      </c>
      <c r="F482" t="s">
        <v>47</v>
      </c>
      <c r="I482" t="s">
        <v>133</v>
      </c>
      <c r="K482">
        <v>46235</v>
      </c>
      <c r="L482">
        <v>46235.382951076397</v>
      </c>
      <c r="M482" t="s">
        <v>1165</v>
      </c>
      <c r="N482" t="s">
        <v>1166</v>
      </c>
      <c r="O482" t="s">
        <v>54</v>
      </c>
      <c r="P482" t="s">
        <v>174</v>
      </c>
      <c r="Q482" t="s">
        <v>56</v>
      </c>
      <c r="R482" t="s">
        <v>57</v>
      </c>
      <c r="S482" t="s">
        <v>1282</v>
      </c>
      <c r="V482" t="s">
        <v>59</v>
      </c>
      <c r="W482" t="s">
        <v>60</v>
      </c>
      <c r="X482" t="s">
        <v>61</v>
      </c>
      <c r="Y482" t="s">
        <v>47</v>
      </c>
      <c r="AA482" t="s">
        <v>2617</v>
      </c>
      <c r="AF482" t="s">
        <v>117</v>
      </c>
      <c r="AI482" t="s">
        <v>1284</v>
      </c>
      <c r="AJ482" t="s">
        <v>68</v>
      </c>
      <c r="AK482" t="s">
        <v>248</v>
      </c>
      <c r="AL482" t="s">
        <v>70</v>
      </c>
      <c r="AM482">
        <v>1</v>
      </c>
      <c r="AN482">
        <v>2026</v>
      </c>
      <c r="AO482" t="s">
        <v>2589</v>
      </c>
      <c r="AP482">
        <v>1</v>
      </c>
      <c r="AQ482" t="s">
        <v>2589</v>
      </c>
    </row>
    <row r="483" spans="1:43" x14ac:dyDescent="0.25">
      <c r="A483">
        <v>482</v>
      </c>
      <c r="B483" t="s">
        <v>229</v>
      </c>
      <c r="C483" t="s">
        <v>2618</v>
      </c>
      <c r="D483" t="s">
        <v>2619</v>
      </c>
      <c r="E483" t="s">
        <v>2620</v>
      </c>
      <c r="F483" t="s">
        <v>47</v>
      </c>
      <c r="I483" t="s">
        <v>233</v>
      </c>
      <c r="K483">
        <v>46235</v>
      </c>
      <c r="L483">
        <v>46235.368125347202</v>
      </c>
      <c r="M483" t="s">
        <v>1638</v>
      </c>
      <c r="N483" t="s">
        <v>1639</v>
      </c>
      <c r="O483" t="s">
        <v>54</v>
      </c>
      <c r="P483" t="s">
        <v>160</v>
      </c>
      <c r="Q483" t="s">
        <v>113</v>
      </c>
      <c r="S483" t="s">
        <v>1282</v>
      </c>
      <c r="V483" t="s">
        <v>59</v>
      </c>
      <c r="W483" t="s">
        <v>90</v>
      </c>
      <c r="X483" t="s">
        <v>61</v>
      </c>
      <c r="Y483" t="s">
        <v>47</v>
      </c>
      <c r="AA483" t="s">
        <v>2621</v>
      </c>
      <c r="AF483" t="s">
        <v>245</v>
      </c>
      <c r="AI483" t="s">
        <v>2622</v>
      </c>
      <c r="AJ483" t="s">
        <v>68</v>
      </c>
      <c r="AK483" t="s">
        <v>1641</v>
      </c>
      <c r="AL483" t="s">
        <v>70</v>
      </c>
      <c r="AM483">
        <v>1</v>
      </c>
      <c r="AN483">
        <v>2026</v>
      </c>
      <c r="AO483" t="s">
        <v>2589</v>
      </c>
      <c r="AP483">
        <v>1</v>
      </c>
      <c r="AQ483" t="s">
        <v>2589</v>
      </c>
    </row>
    <row r="484" spans="1:43" x14ac:dyDescent="0.25">
      <c r="A484">
        <v>483</v>
      </c>
      <c r="B484" t="s">
        <v>222</v>
      </c>
      <c r="C484" t="s">
        <v>2623</v>
      </c>
      <c r="D484" t="s">
        <v>2624</v>
      </c>
      <c r="E484" t="s">
        <v>2625</v>
      </c>
      <c r="F484" t="s">
        <v>47</v>
      </c>
      <c r="I484" t="s">
        <v>226</v>
      </c>
      <c r="K484">
        <v>46237</v>
      </c>
      <c r="L484">
        <v>46237.347243368102</v>
      </c>
      <c r="M484" t="s">
        <v>2626</v>
      </c>
      <c r="N484" t="s">
        <v>2627</v>
      </c>
      <c r="O484" t="s">
        <v>54</v>
      </c>
      <c r="P484" t="s">
        <v>55</v>
      </c>
      <c r="Q484" t="s">
        <v>535</v>
      </c>
      <c r="S484" t="s">
        <v>1282</v>
      </c>
      <c r="V484" t="s">
        <v>59</v>
      </c>
      <c r="W484" t="s">
        <v>90</v>
      </c>
      <c r="X484" t="s">
        <v>61</v>
      </c>
      <c r="Y484" t="s">
        <v>47</v>
      </c>
      <c r="AA484" t="s">
        <v>2628</v>
      </c>
      <c r="AF484" t="s">
        <v>228</v>
      </c>
      <c r="AI484" t="s">
        <v>2128</v>
      </c>
      <c r="AJ484" t="s">
        <v>68</v>
      </c>
      <c r="AK484" t="s">
        <v>248</v>
      </c>
      <c r="AL484" t="s">
        <v>70</v>
      </c>
      <c r="AM484">
        <v>3</v>
      </c>
      <c r="AN484">
        <v>2026</v>
      </c>
      <c r="AO484" t="s">
        <v>2589</v>
      </c>
      <c r="AP484">
        <v>3</v>
      </c>
      <c r="AQ484" t="s">
        <v>2589</v>
      </c>
    </row>
    <row r="485" spans="1:43" x14ac:dyDescent="0.25">
      <c r="A485">
        <v>484</v>
      </c>
      <c r="B485" t="s">
        <v>222</v>
      </c>
      <c r="C485" t="s">
        <v>2629</v>
      </c>
      <c r="D485" t="s">
        <v>2630</v>
      </c>
      <c r="E485" t="s">
        <v>2631</v>
      </c>
      <c r="F485" t="s">
        <v>47</v>
      </c>
      <c r="I485" t="s">
        <v>226</v>
      </c>
      <c r="K485">
        <v>46237</v>
      </c>
      <c r="L485">
        <v>46237.350758911998</v>
      </c>
      <c r="M485" t="s">
        <v>2626</v>
      </c>
      <c r="N485" t="s">
        <v>2627</v>
      </c>
      <c r="O485" t="s">
        <v>54</v>
      </c>
      <c r="P485" t="s">
        <v>88</v>
      </c>
      <c r="Q485" t="s">
        <v>154</v>
      </c>
      <c r="S485" t="s">
        <v>1282</v>
      </c>
      <c r="V485" t="s">
        <v>59</v>
      </c>
      <c r="W485" t="s">
        <v>90</v>
      </c>
      <c r="X485" t="s">
        <v>61</v>
      </c>
      <c r="Y485" t="s">
        <v>47</v>
      </c>
      <c r="AA485" t="s">
        <v>2632</v>
      </c>
      <c r="AF485" t="s">
        <v>228</v>
      </c>
      <c r="AI485" t="s">
        <v>470</v>
      </c>
      <c r="AJ485" t="s">
        <v>68</v>
      </c>
      <c r="AK485" t="s">
        <v>248</v>
      </c>
      <c r="AL485" t="s">
        <v>70</v>
      </c>
      <c r="AM485">
        <v>3</v>
      </c>
      <c r="AN485">
        <v>2026</v>
      </c>
      <c r="AO485" t="s">
        <v>2589</v>
      </c>
      <c r="AP485">
        <v>3</v>
      </c>
      <c r="AQ485" t="s">
        <v>2589</v>
      </c>
    </row>
  </sheetData>
  <dataValidations count="2">
    <dataValidation type="list" allowBlank="1" showInputMessage="1" showErrorMessage="1" sqref="AS2:AS3" xr:uid="{A284B5F3-136D-484C-9104-783CD370B3DF}">
      <formula1>"New Customer, Repeat Order"</formula1>
    </dataValidation>
    <dataValidation type="list" allowBlank="1" showInputMessage="1" showErrorMessage="1" sqref="AR1:AR1048576" xr:uid="{2CAFBF42-A309-4949-8F42-0C415AE30E94}">
      <formula1>"Internal, External"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upload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Hamedan</dc:creator>
  <cp:lastModifiedBy>Muhammad Hamedan</cp:lastModifiedBy>
  <cp:lastPrinted>2026-08-01T11:46:19Z</cp:lastPrinted>
  <dcterms:created xsi:type="dcterms:W3CDTF">2026-08-01T11:03:15Z</dcterms:created>
  <dcterms:modified xsi:type="dcterms:W3CDTF">2026-08-03T04:03:48Z</dcterms:modified>
</cp:coreProperties>
</file>